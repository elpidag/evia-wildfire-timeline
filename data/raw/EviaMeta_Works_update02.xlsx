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lgia\Documents\13_MARA\P_PROJECT\"/>
    </mc:Choice>
  </mc:AlternateContent>
  <xr:revisionPtr revIDLastSave="0" documentId="13_ncr:1_{CF48BA6B-C0E5-49F3-AE22-0557237F596C}" xr6:coauthVersionLast="47" xr6:coauthVersionMax="47" xr10:uidLastSave="{00000000-0000-0000-0000-000000000000}"/>
  <bookViews>
    <workbookView xWindow="38280" yWindow="-4245" windowWidth="29040" windowHeight="15840" xr2:uid="{00000000-000D-0000-FFFF-FFFF00000000}"/>
  </bookViews>
  <sheets>
    <sheet name="Works_EN" sheetId="1" r:id="rId1"/>
    <sheet name="Programmes" sheetId="2" r:id="rId2"/>
    <sheet name="Works_GR" sheetId="3" r:id="rId3"/>
    <sheet name="Lists" sheetId="4" r:id="rId4"/>
  </sheets>
  <definedNames>
    <definedName name="_xlnm._FilterDatabase" localSheetId="1" hidden="1">Programmes!$A$1:$F$33</definedName>
    <definedName name="_xlnm._FilterDatabase" localSheetId="0" hidden="1">Works_EN!$D$1:$D$999</definedName>
    <definedName name="_xlnm._FilterDatabase" localSheetId="2" hidden="1">Works_GR!$A$1:$L$1000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78" i="1" l="1"/>
  <c r="N77" i="1"/>
  <c r="N76" i="1"/>
  <c r="N75" i="1"/>
  <c r="N74" i="1"/>
  <c r="N73" i="1"/>
  <c r="N72" i="1"/>
  <c r="N71" i="1"/>
  <c r="N70" i="1"/>
  <c r="N69" i="1"/>
  <c r="N68" i="1"/>
  <c r="N67" i="1"/>
  <c r="N65" i="1"/>
  <c r="N64" i="1"/>
  <c r="N63" i="1"/>
  <c r="N62" i="1"/>
  <c r="N61" i="1"/>
  <c r="N60" i="1"/>
  <c r="N59" i="1"/>
  <c r="N58" i="1"/>
  <c r="N57" i="1"/>
  <c r="N55" i="1"/>
  <c r="N53" i="1"/>
  <c r="N52" i="1"/>
  <c r="N51" i="1"/>
  <c r="N50" i="1"/>
  <c r="N49" i="1"/>
  <c r="N48" i="1"/>
  <c r="N42" i="1"/>
  <c r="N41" i="1"/>
  <c r="N40" i="1"/>
  <c r="N39" i="1"/>
  <c r="N38" i="1"/>
  <c r="N34" i="1"/>
  <c r="N32" i="1"/>
  <c r="N31" i="1"/>
  <c r="N30" i="1"/>
  <c r="N29" i="1"/>
  <c r="N28" i="1"/>
  <c r="N27" i="1"/>
  <c r="N26" i="1"/>
  <c r="N25" i="1"/>
  <c r="N24" i="1"/>
  <c r="N23" i="1"/>
  <c r="N22" i="1"/>
  <c r="N21" i="1"/>
  <c r="N20" i="1"/>
  <c r="N19" i="1"/>
  <c r="N18" i="1"/>
  <c r="N17" i="1"/>
  <c r="N14" i="1"/>
  <c r="N13" i="1"/>
  <c r="N12" i="1"/>
  <c r="N11" i="1"/>
  <c r="N10" i="1"/>
  <c r="N9" i="1"/>
  <c r="N8" i="1"/>
  <c r="N7" i="1"/>
  <c r="N6" i="1"/>
  <c r="N5" i="1"/>
  <c r="N4" i="1"/>
  <c r="N3" i="1"/>
  <c r="N2" i="1"/>
  <c r="E12" i="2"/>
  <c r="F12" i="2"/>
  <c r="F10" i="2"/>
  <c r="E10" i="2"/>
  <c r="F9" i="2" l="1"/>
  <c r="E9" i="2"/>
  <c r="F6" i="2"/>
  <c r="E6" i="2"/>
</calcChain>
</file>

<file path=xl/sharedStrings.xml><?xml version="1.0" encoding="utf-8"?>
<sst xmlns="http://schemas.openxmlformats.org/spreadsheetml/2006/main" count="1954" uniqueCount="456">
  <si>
    <t>tag</t>
  </si>
  <si>
    <t>title</t>
  </si>
  <si>
    <t>category</t>
  </si>
  <si>
    <t>funded by</t>
  </si>
  <si>
    <t>approved</t>
  </si>
  <si>
    <t>included in a programme</t>
  </si>
  <si>
    <t>open to assignment</t>
  </si>
  <si>
    <t>assigned</t>
  </si>
  <si>
    <t>completion</t>
  </si>
  <si>
    <t>A1</t>
  </si>
  <si>
    <t>Infrastructure</t>
  </si>
  <si>
    <t>National Infrastructure Development Program</t>
  </si>
  <si>
    <t>yes</t>
  </si>
  <si>
    <t>no</t>
  </si>
  <si>
    <t/>
  </si>
  <si>
    <t>A2</t>
  </si>
  <si>
    <t>Regional Operational Program of Sterea Ellada 2014-2020 (ΠΕΠ 2014-2020)</t>
  </si>
  <si>
    <t>A3</t>
  </si>
  <si>
    <t>A4</t>
  </si>
  <si>
    <t>Other</t>
  </si>
  <si>
    <t>B1</t>
  </si>
  <si>
    <t>Regional Program of Sterea Ellada 2021-2027</t>
  </si>
  <si>
    <t>A5</t>
  </si>
  <si>
    <t>Forest</t>
  </si>
  <si>
    <t>Green Fund</t>
  </si>
  <si>
    <t>A6</t>
  </si>
  <si>
    <t>A7</t>
  </si>
  <si>
    <t>Recovery &amp; Resilience Plan</t>
  </si>
  <si>
    <t>A8</t>
  </si>
  <si>
    <t>Hydrological study for mountain and lowland works in North Evia</t>
  </si>
  <si>
    <t>Regional Development Program 2021-2025</t>
  </si>
  <si>
    <t>A9</t>
  </si>
  <si>
    <t>National Trail 21 in Evia</t>
  </si>
  <si>
    <t>A10</t>
  </si>
  <si>
    <t>Non-public forestry programme</t>
  </si>
  <si>
    <t>A11</t>
  </si>
  <si>
    <t>Reconstruction of the Papades forest village infrastructure destroyed by the 3 Aug 2021 fire</t>
  </si>
  <si>
    <t>National Development Program 2021-2025</t>
  </si>
  <si>
    <t>A12</t>
  </si>
  <si>
    <t>A13</t>
  </si>
  <si>
    <t>Donations</t>
  </si>
  <si>
    <t>A14</t>
  </si>
  <si>
    <t>A15</t>
  </si>
  <si>
    <t>A16</t>
  </si>
  <si>
    <t>A17</t>
  </si>
  <si>
    <t>A18</t>
  </si>
  <si>
    <t>A19</t>
  </si>
  <si>
    <t>A20</t>
  </si>
  <si>
    <t>A21</t>
  </si>
  <si>
    <t>Training and upskilling actions for the local population</t>
  </si>
  <si>
    <t>Agrifood sector</t>
  </si>
  <si>
    <t>A22</t>
  </si>
  <si>
    <t>Training for workers in catering and leisure</t>
  </si>
  <si>
    <t>A23</t>
  </si>
  <si>
    <t>Supply chains</t>
  </si>
  <si>
    <t>A24</t>
  </si>
  <si>
    <t>Open Shelf</t>
  </si>
  <si>
    <t>B2</t>
  </si>
  <si>
    <t>Invest in North Evia – support for existing small and very small agrifood-chain businesses in North Evia</t>
  </si>
  <si>
    <t>A25</t>
  </si>
  <si>
    <t>Livestock support – livestock facilities</t>
  </si>
  <si>
    <t>Rural Development Programme</t>
  </si>
  <si>
    <t>A26</t>
  </si>
  <si>
    <t>Istiaia Beekeeping School / beekeeping seminars</t>
  </si>
  <si>
    <t>Sectoral Development Program of the Ministry of Education 2021-2025</t>
  </si>
  <si>
    <t>A27</t>
  </si>
  <si>
    <t>Installation of a smart agriculture system in the Rovies cooperative</t>
  </si>
  <si>
    <t>A28</t>
  </si>
  <si>
    <t>A29</t>
  </si>
  <si>
    <t>North Evia agricultural products exhibition – Syntagma Metro</t>
  </si>
  <si>
    <t>A30</t>
  </si>
  <si>
    <t>Grant support for existing businesses affected by the pandemic in areas hit by major natural disasters</t>
  </si>
  <si>
    <t>Human Resources</t>
  </si>
  <si>
    <t>Competitiveness Programme 2021-2027</t>
  </si>
  <si>
    <t>A31</t>
  </si>
  <si>
    <t>Special employment programme for a) resin workers and b) graduates of higher education institutions in services of the Ministry of Environment and Energy</t>
  </si>
  <si>
    <t>National Employment Service (Δ.ΥΠ.Α)</t>
  </si>
  <si>
    <t>A32</t>
  </si>
  <si>
    <t>Pre-employment programme for 300 unemployed young people aged 18–30 in private-sector businesses and public-sector entities with regular economic activity in the municipalities of Istiaia–Aidipsos and Mantoudi–Limni–Agia Anna</t>
  </si>
  <si>
    <t>A33</t>
  </si>
  <si>
    <t>POLITIS programme infrastructure: creation of a Spatial Planning and Environment Centre (KECHOP), a holistic multi-purpose Citizen Service Centre (KEP), and space for the intermunicipal development organisation (DMO) in Istiaia, plus a new KEP with a community clinic in Vasilika</t>
  </si>
  <si>
    <t>A34</t>
  </si>
  <si>
    <t>POLITIS programme infrastructure: creation of a Citizen Service Centre (KEP) and a Spatial Planning and Environment Centre (KECHOP) in Mantoudi, plus a KEP in Agia Anna</t>
  </si>
  <si>
    <t>A35</t>
  </si>
  <si>
    <t>Digital applications – “POLITIS” programme (upgrade of the KEP information system)</t>
  </si>
  <si>
    <t>Good Governance - Institutions and Transparency / EEA Grants 2014–2021</t>
  </si>
  <si>
    <t>A36</t>
  </si>
  <si>
    <t>Digital applications – “POLITIS” programme (municipal geospatial information geoportal and codification of environmental legislation – Municipality of Aidipsos)</t>
  </si>
  <si>
    <t>A37</t>
  </si>
  <si>
    <t>Digital applications – “POLITIS” programme (municipal geospatial information geoportal and codification of environmental legislation – Municipality of Limni)</t>
  </si>
  <si>
    <t>A38</t>
  </si>
  <si>
    <t>Digital applications – “POLITIS” programme (Digital Observatory for Sustainable Tourism Development DataHub) – Municipality of Istiaia</t>
  </si>
  <si>
    <t>A39</t>
  </si>
  <si>
    <t>Study for establishing an Energy Community for the municipalities of Mantoudi–Limni–Agia Anna and Istiaia–Aidipsos</t>
  </si>
  <si>
    <t>A40</t>
  </si>
  <si>
    <t>Procurement of one (1) 4x4 ambulance vehicle for the Istiaia Health Centre</t>
  </si>
  <si>
    <t>Healthcare &amp; Welfare</t>
  </si>
  <si>
    <t>A41</t>
  </si>
  <si>
    <t>Procurement of medical equipment for the needs of the Istiaia Health Centre (including a chronic patients centre)</t>
  </si>
  <si>
    <t>A42</t>
  </si>
  <si>
    <t>Procurement of medical equipment for the needs of the Mantoudi Health Centre</t>
  </si>
  <si>
    <t>A43</t>
  </si>
  <si>
    <t>Procurement of one mobile gynaecological unit for the population of North Evia</t>
  </si>
  <si>
    <t>A44</t>
  </si>
  <si>
    <t>Procurement of one mobile blood collection unit</t>
  </si>
  <si>
    <t>A45</t>
  </si>
  <si>
    <t>Preventive medicine – outreach and information actions at various points in North Evia</t>
  </si>
  <si>
    <t>A46</t>
  </si>
  <si>
    <t>Tele-counselling – pilot use of the existing inactive platform for: a) Covid, b) child and adolescent mental health, extended to chronic patient care and the personal doctor</t>
  </si>
  <si>
    <t>A47</t>
  </si>
  <si>
    <t>Creation of a needs map for health and welfare networks within the framework of North Evia reconstruction</t>
  </si>
  <si>
    <t>B3</t>
  </si>
  <si>
    <t>Strengthening social care, protection and inclusion: “First Hug”</t>
  </si>
  <si>
    <t>B4</t>
  </si>
  <si>
    <t>Strengthening social care, protection and inclusion: experiential culture workshops for adolescents</t>
  </si>
  <si>
    <t>B5</t>
  </si>
  <si>
    <t>Independent living for people in need in North Evia</t>
  </si>
  <si>
    <t>A48</t>
  </si>
  <si>
    <t>Tourism</t>
  </si>
  <si>
    <t>A49</t>
  </si>
  <si>
    <t>A50</t>
  </si>
  <si>
    <t>AB51</t>
  </si>
  <si>
    <t>AB52</t>
  </si>
  <si>
    <t>A53</t>
  </si>
  <si>
    <t>Blue Flags</t>
  </si>
  <si>
    <t>OFYPEKA</t>
  </si>
  <si>
    <t>A54</t>
  </si>
  <si>
    <t>A55</t>
  </si>
  <si>
    <t>A56</t>
  </si>
  <si>
    <t>Museum exhibition in Oreoi</t>
  </si>
  <si>
    <t>Culture</t>
  </si>
  <si>
    <t>B6</t>
  </si>
  <si>
    <t>Historical information centre / exhibition space in Oreoi</t>
  </si>
  <si>
    <t>A57</t>
  </si>
  <si>
    <t>Petrified Forest – Kerasia annex</t>
  </si>
  <si>
    <t>A58</t>
  </si>
  <si>
    <t>Agioi Anargyroi building – Museum of North Evia</t>
  </si>
  <si>
    <t>A59</t>
  </si>
  <si>
    <t>Archaeological excavation at Kastri of Kirinthos</t>
  </si>
  <si>
    <t>A60</t>
  </si>
  <si>
    <t>Restoration of the listed historic monument “Konaki” in Kechries, Evia</t>
  </si>
  <si>
    <t>PEKA (former YMEPERAA)</t>
  </si>
  <si>
    <t>A61</t>
  </si>
  <si>
    <t>Restoration of the Church of Taxiarchon in Kokkinomilia, North Evia</t>
  </si>
  <si>
    <t>A62</t>
  </si>
  <si>
    <t>Architectural heritage networks of North Evia</t>
  </si>
  <si>
    <t>A63</t>
  </si>
  <si>
    <t>Creation of a film hub for idea exchange and film market focused on the environment, titled “Evia Film Project” – Thessaloniki International Film Festival</t>
  </si>
  <si>
    <t>A64</t>
  </si>
  <si>
    <t>A65</t>
  </si>
  <si>
    <t>A66</t>
  </si>
  <si>
    <t>A67</t>
  </si>
  <si>
    <t>Educational programme “We Support North Evia”</t>
  </si>
  <si>
    <t>A68</t>
  </si>
  <si>
    <t>Forest festivals</t>
  </si>
  <si>
    <t>A69</t>
  </si>
  <si>
    <t>Training – awareness raising – mobilisation of professionals and the local population</t>
  </si>
  <si>
    <t>A70</t>
  </si>
  <si>
    <t>Design and development of innovative digital technology infrastructure and services for the reconstruction of North Evia</t>
  </si>
  <si>
    <t>General</t>
  </si>
  <si>
    <t>A71</t>
  </si>
  <si>
    <t>Consulting, training and certification of North Evia human resources</t>
  </si>
  <si>
    <t>Program Title</t>
  </si>
  <si>
    <t>Total</t>
  </si>
  <si>
    <t xml:space="preserve">EU </t>
  </si>
  <si>
    <t>Greece</t>
  </si>
  <si>
    <t>EU  %</t>
  </si>
  <si>
    <t>Greece %</t>
  </si>
  <si>
    <t>κωδικός</t>
  </si>
  <si>
    <t>τίτλος</t>
  </si>
  <si>
    <t>κατηγορία</t>
  </si>
  <si>
    <t>χρηματοδότηση</t>
  </si>
  <si>
    <t>έγκριση</t>
  </si>
  <si>
    <t>ένταξη σε πρόγραμμα</t>
  </si>
  <si>
    <t>ανοιχτό για ανάθεση</t>
  </si>
  <si>
    <t>ανατέθηκε</t>
  </si>
  <si>
    <t>ανατέθηκε σε (αν ιδιωτικός φορέας ολοκληρώνει το έργο)</t>
  </si>
  <si>
    <t>υλοποίηση</t>
  </si>
  <si>
    <t>ολοκλήρωση</t>
  </si>
  <si>
    <t>προϋπολογισμός</t>
  </si>
  <si>
    <t>ΝΕΟΣ ΟΔΙΚΟΣ ΑΞΟΝΑΣ – KOΡΜΟΣ ΒΟΡΕΙΑΣ ΕΥΒΟΙΑΣ: τμήμα Ψαχνά – Στροφυλιά</t>
  </si>
  <si>
    <t>Υποδομές</t>
  </si>
  <si>
    <t>Εθνικό Πρόγραμμα Ανάπτυξης (ΕΠΑ) Υποδομών</t>
  </si>
  <si>
    <t>ναι</t>
  </si>
  <si>
    <t>όχι</t>
  </si>
  <si>
    <t>ΝΕΟΣ ΟΔΙΚΟΣ ΑΞΟΝΑΣ- KOΡΜΟΣ ΒΟΡΕΙΑΣ ΕΥΒΟΙΑΣ: τμήμα Στροφυλιά – Ιστιαία</t>
  </si>
  <si>
    <t>ΠΕΠ «Στερεά Ελλάδα 2014-2020»</t>
  </si>
  <si>
    <t>Νέες διακλαδώσεις κεντρικού οδικού άξονα – κορμού Βόρειας Εύβοιας προς παράκτιες ζώνες</t>
  </si>
  <si>
    <t>«Superfast North Evia» – Ενίσχυση επιχειρήσεων και νοικοκυριών της Δημοτικής Ενότητας Νηλέως του Δήμου Μαντουδίου – Λίμνης – Αγίας Άννας, για την αναβάθμιση της συνδεσιμότητάς τους στο διαδίκτυο</t>
  </si>
  <si>
    <t>Άλλοι Πόροι</t>
  </si>
  <si>
    <t>Ανάπλαση οικισμών Δήμου Ιστιαίας – Αιδηψού</t>
  </si>
  <si>
    <t>Πρόγραμμα «Στερεά Ελλάδα» 2021-2027</t>
  </si>
  <si>
    <t>Πρόγραμμα “ΑΠΟΛΗΨΙΣ”</t>
  </si>
  <si>
    <t>Δάσος</t>
  </si>
  <si>
    <t>Πράσινο Ταμείο</t>
  </si>
  <si>
    <t>Αποκατάσταση υποδομών σε χώρους δασικής αναψυχής</t>
  </si>
  <si>
    <t>Συντήρηση, Σήμανση &amp; Ανάδειξη σηματοδοτημένων πεζοπορικών διαδρομών στην περιοχή του Δήμου Ιστιαίας – Αιδηψού «Τελέθριον Όρος και Όρος Λίχα»</t>
  </si>
  <si>
    <t>Ταμείο Ανάκαμψης και Ανθεκτικότητας</t>
  </si>
  <si>
    <t>Υδρολογική μελέτη ορεινών και πεδινών έργων στην Βόρεια Εύβοια</t>
  </si>
  <si>
    <t>Περιφερειακό Πρόγραμμα Ανάπτυξης 2021-2025</t>
  </si>
  <si>
    <t>Εθνικό Μονοπάτι 21 στην Εύβοια</t>
  </si>
  <si>
    <t>Πρόγραμμα Μη Δημόσιας Δασοπονίας</t>
  </si>
  <si>
    <t>Κατασκευή έργων αποκατάστασης των υποδομών του Δασικού χωριού Παπάδων που καταστράφηκαν από την πυρκαγιά στις 3/8/2021</t>
  </si>
  <si>
    <t>Εθνικό Πρόγραμμα Ανάπτυξης 2021-2025</t>
  </si>
  <si>
    <t>Πρόγραμμα “ΠΡΟΛΗΨΙΣ”: Προστασία του Δάσους – Έκθεση Επιτροπής Goldammer – Δράση κινητοποίησης τοπικων κοινωνιών</t>
  </si>
  <si>
    <t>“ΕΡΓΟ: Οικονομία του Δάσους – Προστασία και αξιοποίηση προϊόντων και υπηρεσιών των ελληνικών δασών, με διακριτικό τίτλο «ΒΙΩΣΙΜΟΣ ΚΑΘΑΡΙΣΜΟΣ». Υποέργο 1: Ίδρυση Πρότυπης Δασικής Κοιν.Σ.Επ. Β. Εύβοιας «ΑΕΙΦΟΡΙΑ»”</t>
  </si>
  <si>
    <t>Χορηγίες</t>
  </si>
  <si>
    <t>“ΕΡΓΟ: Οικονομία του Δάσους – Προστασία και αξιοποίηση προϊόντων και υπηρεσιών των ελληνικών δασών, με διακριτικό τίτλο «ΒΙΩΣΙΜΟΣ ΚΑΘΑΡΙΣΜΟΣ». Υποέργο 2. Οικονομία του Δάσους – Προστασία ελληνικών δασών και αξιοποίηση δασικών προϊόντων”</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</si>
  <si>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Α. Συλλογή και χειρισμός δασικού αναπαραγωγικού υλικού”</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</si>
  <si>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Β. Παραγωγή φυταρίων στο φυτώριο για την αναδάσωση”</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</si>
  <si>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Γ. Παρακολούθηση της φυσικής αναγέννησης του Νέου Δάσους”</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</si>
  <si>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Δ. Αναδάσωση – Βιώσιμη Διαχείριση – Βιώσιμος Καθαρισμός”</t>
  </si>
  <si>
    <t>“Αναδάσωση – Α.Π.Θ. – Αρθρωτή Κυλιόμενη Δράση με την παρακάτω εκδοχή: Σπόροι, Φυτώρια/Φυτάρια, Αναδάσωση, Φυσική Αναγέννηση / Συνεχής Παρακολούθηση, Νερό, Απορρόφηση CO2 Έργο Ε. Έργα αποκατάστασης υγρασίας εδάφους (Νερό)”</t>
  </si>
  <si>
    <t>“Αναδάσωση – Α.Π.Θ. – Αρθρωτή Κυλιόμενη Δράση με την παρακάτω εκδοχή : Σπόροι, Φυτώρια/Φυτάρια, Αναδάσωση, Φυσική Αναγέννηση / Συνεχής Παρακολούθηση, Νερό, Απορρόφηση CO2 Έργο ΣΤ. Υπολογισμός παρακολούθησης CO2 και αποθήκευσης άνθρακα”</t>
  </si>
  <si>
    <t>Δράσεις επιμόρφωσης και κατάρτισης τοπικού πληθυσμού</t>
  </si>
  <si>
    <t>Αγροδιατροφή</t>
  </si>
  <si>
    <t>Επιμόρφωση Εργαζομένων στον τομέα της εστίασης και αναψυχής</t>
  </si>
  <si>
    <t>Αλυσίδες Εφοδιασμού</t>
  </si>
  <si>
    <t>Ανοιχτό Ράφι</t>
  </si>
  <si>
    <t>Επενδύω στην Β. Εύβοια – Στήριξη υφιστάμενων μικρών και πολύ μικρών επιχειρήσεων της αγροδιατροφικής αλυσίδας στη Βόρεια Εύβοια</t>
  </si>
  <si>
    <t>Υποστήριξη κτηνοτροφίας – Κτηνοτροφικές Εγκαταστάσεις</t>
  </si>
  <si>
    <t>Πρόγραμμα Αγροτικής Ανάπτυξης</t>
  </si>
  <si>
    <t>Μελισσοκομική Σχολή Ιστιαίας / Σεμινάρια μελισσοκομίας</t>
  </si>
  <si>
    <t>Τομεακό Πρόγραμμα Ανάπτυξης ΥΠΑΙΘ 2021-2025</t>
  </si>
  <si>
    <t>Εγκατάσταση συστήματος ευφυούς γεωργίας στον συνεταιρισμό των Ροβιών</t>
  </si>
  <si>
    <t>Δημιουργία Πρότυπων Δημόσιων Δασικών Μελισσοκομείων</t>
  </si>
  <si>
    <t>Έκθεση αγροτικών προϊόντων Βόρειας Εύβοιας – Μετρό Συντάγματος</t>
  </si>
  <si>
    <t>Επιχορήγηση υφιστάμενων επιχειρήσεων που έχουν πληγεί από την πανδημία, σε περιοχές που υπέστησαν μεγάλες φυσικές καταστροφές</t>
  </si>
  <si>
    <t>Ανθρώπινο Δυναμικό</t>
  </si>
  <si>
    <t>Πρόγραμμα Ανταγωνιστικότητα 2021-2027</t>
  </si>
  <si>
    <t>Ειδικό πρόγραμμα απασχόλησης α) ρητινεργατών και β) πτυχιούχων ανώτατων εκπαιδευτικών ιδρυμάτων Πανεπιστημιακού και Τεχνολογικού Τομέα σε Υπηρεσίες του Υπουργείου Περιβάλλοντος και Ενέργειας</t>
  </si>
  <si>
    <t>ΔΥΠΑ</t>
  </si>
  <si>
    <t>Πρόγραμμα προεργασίας για 300 ανέργους νέους, ηλικίας 18-30 σε επιχειρήσεις του ιδιωτικού τομέα και σε επιχειρήσεις, φορείς, οργανισμούς του δημοσίου τομέα που ασκούν τακτικά οικονομική δραστηριότητα, στους Δήμους Ιστιαίας-Αιδηψού και Μαντουδίου – Λίμνης – Αγίας Άννας, της Περιφερειακής Ενότητας Ευβοίας.</t>
  </si>
  <si>
    <t>Υποδομές Προγράμματος POLITIS:Δημιουργία ενός Κέντρου Χωροταξίας και Περιβάλλοντος (ΚΕΧΩΠ), ενός ολιστικού πολυδύναμου Κέντρου Εξυπηρέτησης Πολιτών (ΚΕΠ) και ενός χώρου για τον Διαδημοτικό Αναπτυξιακό Οργανισμό (DMO) στην Ιστιαία, καθώς και ενός νέου ΚΕΠ με Κοινοτικό Ιατρείο στον οικισμό Βασιλικών.</t>
  </si>
  <si>
    <t>Υποδομές Προγράμματος POLITIS:Δημιουργία ενός Κέντρου Εξυπηρέτησης Πολιτών (ΚΕΠ) και ενός Κέντρου Χωροταξίας και Περιβάλλοντος (ΚΕΧΩΠ) στο Μαντούδι, καθώς και ενός ΚΕΠ στον οικισμό Αγίας Άννας.</t>
  </si>
  <si>
    <t>Ψηφιακές Εφαρμογές Πρόγραμμα «ΠΟΛΙΤΗΣ» (Αναβάθμιση Πληροφοριακού Συστήματος Κ.Ε.Π.)</t>
  </si>
  <si>
    <t>Χρηστή Διακυβέρνηση - Θεσμοί και Διαφάνεια / ΧΜ-ΕΟΧ (EEA Grants) 2014–2021</t>
  </si>
  <si>
    <t>Ψηφιακές Εφαρμογές Πρόγραμμα «ΠΟΛΙΤΗΣ» (Γεωπύλη Γεωχωρικών Πληροφοριών των Δήμων και Κωδικοποίηση της περιβαλλοντικής νομοθεσίας – Δήμος Αιδηψού)</t>
  </si>
  <si>
    <t>Ψηφιακές Εφαρμογές Πρόγραμμα «ΠΟΛΙΤΗΣ» (Γεωπύλη Γεωχωρικών Πληροφοριών των Δήμων και Κωδικοποίηση της περιβαλλοντικής νομοθεσίας – Δήμος Λίμνης)</t>
  </si>
  <si>
    <t>Ψηφιακές Εφαρμογές Πρόγραμμα «ΠΟΛΙΤΗΣ» (Ψηφιακό Παρατηρητήριο Βιώσιμης Τουριστικής Ανάπτυξης DataHub) Δήμος Ιστιαίας</t>
  </si>
  <si>
    <t>Μελέτη Ίδρυσης Ενεργειακής Κοινότητας των Δήμων Μαντουδίου – Λίμνης – Αγ. Άννας και Ιστιαίας – Αιδηψού</t>
  </si>
  <si>
    <t>Προμήθεια ενός (1) Ασθενοφόρου Οχήματος (4×4) για τις ανάγκες του Κέντρου Υγείας Ιστιαίας</t>
  </si>
  <si>
    <t>Υγεία &amp; Πρόνοια</t>
  </si>
  <si>
    <t>Προμήθεια Ιατροτεχνολογικού Εξοπλισμού για τις Ανάγκες του ΚΥ Ιστιαίας (Περιλαμβάνει κέντρο Χρόνιων Ασθενών)</t>
  </si>
  <si>
    <t>Προμήθεια Ιατροτεχνολογικού Εξοπλισμού για τις Ανάγκες του ΚΥ Μαντουδίου</t>
  </si>
  <si>
    <t>Προμήθεια 1 Κινητής Γυναικολογικής Μονάδας για τις Ανάγκες του Πληθυσμού της Βόρειας Εύβοιας</t>
  </si>
  <si>
    <t>Προμήθεια 1 Κινητής Μονάδας Αιμοληψίας</t>
  </si>
  <si>
    <t>Προληπτική Ιατρική – Δράσεις Προβολής και Ενημέρωσης σε διάφορα σημεία της Βόρειας Εύβοιας,</t>
  </si>
  <si>
    <t>Τηλεσυμβουλευτική – Πιλοτική εφαρμογή της υπάρχουσας ανενεργής πλατφόρμας για τις θεματικές: α) Covid, β) Ψυχική Υγεία παιδιών και εφήβων και επέκταση της για την Φροντίδα Χρόνιων Ασθενών &amp; Προσωπικό Ιατρό</t>
  </si>
  <si>
    <t>Δημιουργία Χάρτας Αναγκών για τα δίκτυα υγείας και πρόνοιας στο Πλαίσιο της Ανασυγκρότησης της Βόρειας Εύβοιας</t>
  </si>
  <si>
    <t>Ενίσχυση της κοινωνικής μέριμνας, προστασίας και συμπερίληψης: «Πρώτη Αγκαλιά»</t>
  </si>
  <si>
    <t>Ενίσχυση της κοινωνικής μέριμνας, προστασίας και συμπερίληψης: Βιωματικά Εργαστήρια Πολιτισμού για Εφήβους</t>
  </si>
  <si>
    <t>Αυτόνομη διαβίωση ατόμων που έχουν ανάγκη στη Βόρεια Εύβοια</t>
  </si>
  <si>
    <t>ΕΡΓΟ: Επαναλειτουργία του Υδροθεραπευτηρίου Λουτρών Αιδηψού ΥΠΟΕΡΓΟ 3: Διαχείριση και Διανομή Ιαματικού Πόρου του Κέντρου Ιαματικού Τουρισμού / Θερμαλισμού Αιδηψού</t>
  </si>
  <si>
    <t>Τουριστική Ανάπτυξη</t>
  </si>
  <si>
    <t>Τουριστική Προβολή</t>
  </si>
  <si>
    <t>Εγκατάσταση δωρεάν Wifi σημείων στους Δήμους Β. Εύβοιας</t>
  </si>
  <si>
    <t>Αναβάθμιση Τουριστικών Πόλων / Παραλία Αγ. Άννας</t>
  </si>
  <si>
    <t>Αναβάθμιση Τουριστικών Πόλων / Παραλία Ροβιών</t>
  </si>
  <si>
    <t>Γαλάζιες Σημαίες</t>
  </si>
  <si>
    <t>ΟΦΥΠΕΚΑ</t>
  </si>
  <si>
    <t>Εκπαίδευση – Κατάρτιση – Υποστήριξη επαγγελματιών τουρισμού και τοπικού πληθυσμού</t>
  </si>
  <si>
    <t>ΕΡΓΟ: Επαναλειτουργία του Υδροθεραπευτηρίου Λουτρών Αιδηψού ΥΠΟΕΡΓΟ 2: Ανάπλαση περιβάλλοντος Χώρου</t>
  </si>
  <si>
    <t>Μουσειακή Έκθεση στους Ωρεούς</t>
  </si>
  <si>
    <t>Πολιτισμός</t>
  </si>
  <si>
    <t>Κέντρο Ιστορικής Ενημέρωσης / Εκθεσιακός χώρος Ωρεών</t>
  </si>
  <si>
    <t>Απολιθωμένο Δάσος – Παράρτημα Κερασιάς</t>
  </si>
  <si>
    <t>Κτήριο Αγίων Αναργύρων – Μουσείο Βόρειας Εύβοιας</t>
  </si>
  <si>
    <t>Ανασκαφική έρευνα στο Καστρί Κηρίνθου</t>
  </si>
  <si>
    <t>Αποκατάσταση του Ιστορικού Διατηρητέου Μνημείου “Κονάκι” στις Κεχριές Ευβοίας</t>
  </si>
  <si>
    <t>ΠΕΚΑ (Πρώην ΥΜΕΠΕΡΑΑ)</t>
  </si>
  <si>
    <t>Αποκατάσταση του Ναού των Ταξιαρχών στην Κοκκινομηλιά της Βόρειας Εύβοιας</t>
  </si>
  <si>
    <t>Δίκτυα Αρχιτεκτονικής Κληρονομιάς Βόρειας Εύβοιας</t>
  </si>
  <si>
    <t>Δημιουργία Κινηματογραφικού Πόλου Ανταλλαγής Ιδεών και Αγοράς Ταινιών με επίκεντρο το Περιβάλλον με τον τίτλο «Εvia Film Project». ΦΕΣΤΙΒΑΛ ΚΙΝΗΜΑΤΟΓΡΑΦΟΥ ΘΕΣΣΑΛΟΝΙΚΗΣ</t>
  </si>
  <si>
    <t>Εκπαιδευτική, Καλλιτεχνική και Περιβαλλοντική δράση σε 2 επιλεγμένες περιοχές της Εύβοιας ΕΘΝΙΚΗ ΛΥΡΙΚΗ ΣΚΗΝΗ</t>
  </si>
  <si>
    <t>Οι Γέφυρες της μουσικής ΜΕΓΑΡΟ ΜΟΥΣΙΚΗΣ ΑΘΗΝΩΝ</t>
  </si>
  <si>
    <t>Πολιτιστικά και αθλητικά δρώμενα – Τοπικό πολιτιστικό κεφάλαιο</t>
  </si>
  <si>
    <t>Εκπαιδευτικό Πρόγραμμα «ΣτηρίΖΟΥΜΕ Βόρεια Εύβοια»</t>
  </si>
  <si>
    <t>Γιορτές του Δάσους</t>
  </si>
  <si>
    <t>Κατάρτιση – ευαισθητοποίηση – εμψύχωση επαγγελματιών &amp; τοπικού πληθυσμού</t>
  </si>
  <si>
    <t>Σχεδίαση και Ανάπτυξη Καινοτόμων Ψηφιακών Τεχνολογικών Υποδομών και Υπηρεσιών για την Ανασυγκρότηση της Βόρειας Εύβοιας</t>
  </si>
  <si>
    <t>Οριζόντια Τεχνικά Δελτία</t>
  </si>
  <si>
    <t>Συμβουλευτική, Κατάρτιση και Πιστοποίηση Ανθρώπινου Δυναμικού Βόρειας Εύβοιας</t>
  </si>
  <si>
    <t>Categories_EN</t>
  </si>
  <si>
    <t>Categories_GR</t>
  </si>
  <si>
    <t>Funders_EN</t>
  </si>
  <si>
    <t>Funders_GR</t>
  </si>
  <si>
    <t>Status_EN</t>
  </si>
  <si>
    <t>Status_GR</t>
  </si>
  <si>
    <t>unknown</t>
  </si>
  <si>
    <t>άγνωστο</t>
  </si>
  <si>
    <t>Οργανισμός Φυσικού Περιβάλλοντος &amp; Κλιματικής Αλλαγής (O.ΦΥ.ΠΕ.Κ.Α.)</t>
  </si>
  <si>
    <t>Δ.ΥΠ.Α.</t>
  </si>
  <si>
    <t>Πρόγραμμα Περιβάλλον &amp; Κλιματική Αλλαγή (ΠΕ.Κ.Α.)</t>
  </si>
  <si>
    <t xml:space="preserve">Πρόγραμμα Αγροτικής Ανάπτυξης </t>
  </si>
  <si>
    <t>Competitiveness 2021–2027 Programme</t>
  </si>
  <si>
    <t>National Development Programme 2021-2025</t>
  </si>
  <si>
    <t>National Infrastructure Development Programme</t>
  </si>
  <si>
    <t>Good Governance - Institutions and Transparency'_ European Economic Area Grants 2014-2021</t>
  </si>
  <si>
    <t>Programme Environment &amp; Climate Change</t>
  </si>
  <si>
    <t>Natural Environment &amp; Climate Change Organization</t>
  </si>
  <si>
    <t>Regeneration of settlements in the Municipality of Istiaia–Aidipsos</t>
  </si>
  <si>
    <t>website</t>
  </si>
  <si>
    <t>Regional Programme of Sterea Ellada 2021-2027</t>
  </si>
  <si>
    <t>https://2014-2020.espa.gr/el/Pages/staticOPStereaEllada.aspx</t>
  </si>
  <si>
    <t>https://www.espa.gr/el/Pages/staticPStereaEllada.aspx</t>
  </si>
  <si>
    <t>https://prasinotameio.gr/organismos/skopos/</t>
  </si>
  <si>
    <t>https://peka-program.gr/</t>
  </si>
  <si>
    <t>https://21-27.antagonistikotita.gr/en/programme-competitiveness/</t>
  </si>
  <si>
    <t>https://2014-2020.espa.gr/el/Pages/staticAgrotikiAnaptyxi.aspx</t>
  </si>
  <si>
    <t>Rural Development Programme 2014-2020</t>
  </si>
  <si>
    <t>Rural Development Programme 2023-2027</t>
  </si>
  <si>
    <t>??</t>
  </si>
  <si>
    <t>Creation of digital platform for the information of the citizens regarding the logging and the  collection of the burnt trees of the area</t>
  </si>
  <si>
    <t>Restoration of infrastructures in forest recreation areas</t>
  </si>
  <si>
    <t xml:space="preserve">General Forestry Administration (Γενική Γραμματεία Δασών) </t>
  </si>
  <si>
    <t>responsible agency</t>
  </si>
  <si>
    <t xml:space="preserve">private actor involved </t>
  </si>
  <si>
    <t>Municipality of Istiaia-Adipsos</t>
  </si>
  <si>
    <t>description</t>
  </si>
  <si>
    <t>announced budget</t>
  </si>
  <si>
    <t xml:space="preserve"> budget different than announced</t>
  </si>
  <si>
    <t>furthered timeframe</t>
  </si>
  <si>
    <t>These areas were built by the Limni Forest Service over a period of about 15 years and now require urgent restoration after suffering damage in the devastating 2021 wildfires in northern Evia. Their rehabilitation will also improve their appearance and functionality, provide safe and attractive recreation spaces for visitors, support environmental education, and help boost tourism and the local economy without harming the natural environment.</t>
  </si>
  <si>
    <t>The project aims to attract visitors from Greece and abroad to the Municipality of Istiaia-Edipsos who are interested in alternative forms of tourism such as hiking and mountaineering. The routes run through mountainous, rural, and less tourist-developed areas away from the busy coastal zone, with the goal of strengthening the local economies of the small villages in these regions.</t>
  </si>
  <si>
    <t>location-area of implementation</t>
  </si>
  <si>
    <t>Municipalities of Istiaia-Aidipsos &amp; Limni-Mantoudi-Agia Anna</t>
  </si>
  <si>
    <t>Χώρος δασικής αναψυχής «Καταρράκτες Δρυμώνα»-Μονοπάτι Ξηρόν Όρος»
Περιηγητικές διαδρομές πέριξ του Δασικού Χωριού «Παπάδες» (πράσινη διαδρομή-κόκκινη διαδρομή)
Χώρος δασικής αναψυχής «Βαθύρεμα-Ταμπακαριά-Προφήτης Ηλίας»
Μονοπάτι «Καναλάκια-Χριστός-Άγιος Γρηγόριος-Μεσοπέτρι»
Χώρος δασικής αναψυχής «Καμαρίτσα»-Μονοπάτι προς όρος Καβαλάρη</t>
  </si>
  <si>
    <t>comments</t>
  </si>
  <si>
    <t>A study for the project had already been made and approved by the Forestry Directorate of Evia</t>
  </si>
  <si>
    <t>Municipalities of Istiaia-Aidipsos</t>
  </si>
  <si>
    <t>Sterea Ellada region</t>
  </si>
  <si>
    <t>Civil engineer_Charampos Afrataios</t>
  </si>
  <si>
    <t>It is a study, not construction works are made with this</t>
  </si>
  <si>
    <t>The project achieves the following: it records all water supply and irrigation needs of the two municipalities of northern Euboea; assesses the volume of water that existing technical excavations from magnesite mining can collect so they may be used as permanent reservoirs; and identifies all sites proposed to date for the construction of water storage dams together with their storage capacities. It also supports the efficient organization of water resources and the preparation of a water management programme with a corresponding timetable, while integrating all previous actions in this field into a coherent and unified water policy.</t>
  </si>
  <si>
    <t>Η μελέτη του έργου έχει ολοκληρωθεί από το Σωματείο “ΔΙΑΖΩΜΑ” και ήδη έχει προσφερθεί ως δωρεά στο Δήμο Μαντουδίου – Λίμνης – Αγ. Άννας.</t>
  </si>
  <si>
    <t>equivalent works for Mantoudi Agia Anna were approved by the same formal approval and are actually referred in A9</t>
  </si>
  <si>
    <t>Owners of non-public forests and forested areas</t>
  </si>
  <si>
    <t>Forestry Office of Limni</t>
  </si>
  <si>
    <r>
      <t>The project covers the actions that must be taken before the fire season to reduce the likelihood of wildfires, make them easier to contain, limit potential damage in the event of a major fire, and improve the organization and preparedness of the authorities involved for the immediate response to such incidents.</t>
    </r>
    <r>
      <rPr>
        <b/>
        <sz val="10"/>
        <color theme="1"/>
        <rFont val="Arial"/>
        <family val="2"/>
      </rPr>
      <t xml:space="preserve"> Funding is now being sought for the implementation of the programme.</t>
    </r>
  </si>
  <si>
    <t>Ministry of Environment and Energy</t>
  </si>
  <si>
    <t>subtitle</t>
  </si>
  <si>
    <t xml:space="preserve">University of Thessaly, Union of social and economic solidarity bodies in Sterea Ellada </t>
  </si>
  <si>
    <t xml:space="preserve">Legal support of Sotiris Fwteas, president of Diazoma </t>
  </si>
  <si>
    <t>A_Collection and handling of the forest forest reproductive material</t>
  </si>
  <si>
    <t>Ministry of Environment and Energy, General Forestry Administration, A.U.Th.</t>
  </si>
  <si>
    <t>B_Production of nursery seedlings for reforestation</t>
  </si>
  <si>
    <t>D_Reforestation, Sustainable management and cleaning</t>
  </si>
  <si>
    <t>C_Observation of the natural regeneration of the 'New Forest'</t>
  </si>
  <si>
    <t>E_ Works for the restoration of the soil moisture</t>
  </si>
  <si>
    <t>F_ Calculation and monitoring of CO₂ and carbon absorption</t>
  </si>
  <si>
    <t>A_Establishment of the prototype Social Cooperative Enterprise with the distinctive title 'Sustainability'</t>
  </si>
  <si>
    <t>B_Protection of Greek forests and use / exploitation of forest products</t>
  </si>
  <si>
    <t>Ministry of Environment and Energy, University of Thessaly, Forestry office of Istiaia, Forestry office of Limni</t>
  </si>
  <si>
    <r>
      <t xml:space="preserve">Modification of legislation is necessary for the continuation of this project, </t>
    </r>
    <r>
      <rPr>
        <b/>
        <sz val="10"/>
        <color theme="1"/>
        <rFont val="Arial"/>
        <family val="2"/>
      </rPr>
      <t>Law 5106/2024-Article 20,par3 is mentioned</t>
    </r>
  </si>
  <si>
    <t>A.U.Th.</t>
  </si>
  <si>
    <t xml:space="preserve">General Forestry Administration </t>
  </si>
  <si>
    <t>American Farm School</t>
  </si>
  <si>
    <t>The aim of this action is to cover the new needs that arose after the wildfires of 2021 and to support the local farmers and producers through counselling, new knowledge and skills</t>
  </si>
  <si>
    <t>This project was implemented with funding from other sources, both from the state and the Regional Government, and is excluded from the Reconstruction of Evia program.</t>
  </si>
  <si>
    <t xml:space="preserve">ΣΚΑΠΑΝΗ Α.Ε. </t>
  </si>
  <si>
    <t>This  action is supposed to be financed by the action  B2_"Investing in North Evia - Support for existing small and very small businesses in the agri-food chain in North Evia" which has been approved within the framework of the O.X.E. of North Evia, in order to ensure unified implementation and better coordination of actions.</t>
  </si>
  <si>
    <t>LINK TO B2, presented as different actions but in reality is one programme.</t>
  </si>
  <si>
    <t>Municipality of Istiaia-Adipsos, Municipality of Limni-Mantoudi-Agia Anna</t>
  </si>
  <si>
    <t>Ministry of Agricultural Development &amp; Food</t>
  </si>
  <si>
    <t xml:space="preserve">Ministry of Agricultural Development &amp; Food, Ministry of Education &amp; Religion </t>
  </si>
  <si>
    <t>Provision of housing infrastructure for livestock facilities serving 25% of the existing livestock farmers in Northern Evia.</t>
  </si>
  <si>
    <t>Rovies cooperative</t>
  </si>
  <si>
    <t>smart agriculture</t>
  </si>
  <si>
    <t>Rovies</t>
  </si>
  <si>
    <t>Creation of prototype public forest apiaries</t>
  </si>
  <si>
    <t>-</t>
  </si>
  <si>
    <t>Intermediate Body for the Management of Operational Programmes.</t>
  </si>
  <si>
    <t>Marked as COMPLETED</t>
  </si>
  <si>
    <t>Diazoma,Municipality of Istiaia-Aidipsos</t>
  </si>
  <si>
    <t>Arxikon A.E., Papagannis have submitted the studies that were donated by Diazoma</t>
  </si>
  <si>
    <t>Diazoma,Municipality of Limni-Mantoudi-Agia Anna</t>
  </si>
  <si>
    <t>Municipality of Istiaia-Aidipsos</t>
  </si>
  <si>
    <t>Ministry of Digital Governance</t>
  </si>
  <si>
    <t>Municipality of Limni-Mantoudi-Agia Anna</t>
  </si>
  <si>
    <t>not defined</t>
  </si>
  <si>
    <t>The remaining administrative procedures have to be completed in order for the work to be completed.</t>
  </si>
  <si>
    <t>There is a contract already, the completion of the work is awaited.</t>
  </si>
  <si>
    <t>Skapani A.E.</t>
  </si>
  <si>
    <t>Awaiting funding</t>
  </si>
  <si>
    <t>To be completed by the end of 2026</t>
  </si>
  <si>
    <t>Completed</t>
  </si>
  <si>
    <t>e-Government for Health and Social Security</t>
  </si>
  <si>
    <t>Diazoma</t>
  </si>
  <si>
    <t>Awaiting the relevant call for proposals for the inclusion of the project’s funding in the Northern Euboea ITI (NSRF 2021–2027 | Regional Operational Programme of Central Greece).</t>
  </si>
  <si>
    <t>Municipality of Istiaia-Aidipsos, Municipality of Limni-Mantoudi-Agia Anna</t>
  </si>
  <si>
    <t xml:space="preserve">Touristic Promotion </t>
  </si>
  <si>
    <t>Installation of free Wi‑Fi points in the municipalities of Northern Evia</t>
  </si>
  <si>
    <t>Upgrade of tourism spots-nodes_Agia Anna beach</t>
  </si>
  <si>
    <t>Upgrade of tourism spots-nodes_Rovies beach</t>
  </si>
  <si>
    <t>Education – training – support for professionals of the touristic sector and the local population</t>
  </si>
  <si>
    <t>Reopening of the Aidipsos hydrotherapy centre_Management and distribution of the thermal resource of spa tourism in Aidipsos</t>
  </si>
  <si>
    <t>Reopening of the Aidipsos hydrotherapy centre_ Redevelopment of the surrounding area of the centre</t>
  </si>
  <si>
    <t>Public Properties Company</t>
  </si>
  <si>
    <t>COSMOTE</t>
  </si>
  <si>
    <t>For the Agia Anna beachfront redevelopment project, the DIAZOMA Association commissioned a study, which was completed and submitted to the Municipality of Mantoudi–Limni–Agia Anna as a donation. Following the Municipality’s approval of the donation, the way is opened for the implementation of the project, which is included in the core group of projects under the Northern Euboea ITI (Regional Operational Programme of Central Greece).</t>
  </si>
  <si>
    <t>accordingly</t>
  </si>
  <si>
    <t xml:space="preserve"> Municipality of Limni-Mantoudi-Agia Anna</t>
  </si>
  <si>
    <t>The project is currently under specification by the Ministry of Development and Investments through the Competitiveness Programme 2021–2027</t>
  </si>
  <si>
    <t>AEGEAS Civil Non-Profit Organization for Cultural and Public-Benefit Activities.</t>
  </si>
  <si>
    <t>A multidisciplinary team was commissioned to prepare a Strategic Study – Master Plan entitled “Edipsos Baths ‘META’: Strategic Master Plan for Enhancement, Protection and Reconstruction,” funded through a €70,000 donation from AEGEAS AMKE to the Municipality of Istiaia–Edipsos. The completed Strategic Study – Master Plan proposes the commissioning of five (5) studies for the redevelopment of the surrounding area.</t>
  </si>
  <si>
    <t>Aidipsos</t>
  </si>
  <si>
    <t>Municipality of Istiaia-Aidipsos, Ministry of Culture</t>
  </si>
  <si>
    <t>This specific project is being integrated with the ‘Historical Information Center / Exhibition Space of Oreoi,’ which has been approved within the framework of the Northern Evia I.T.I., in order to ensure unified implementation and better coordination of the actions</t>
  </si>
  <si>
    <t>Integrated to B.6.</t>
  </si>
  <si>
    <t xml:space="preserve">Natural History Museum of the Lesvos Petrified Forest </t>
  </si>
  <si>
    <t>Ministry of Culture</t>
  </si>
  <si>
    <t>The study for the restoration of the building of Agioi Anarguroi by Ernst Ziller is yet to be assigned after funding is found for the project.</t>
  </si>
  <si>
    <t>Ministry of Culture, Archaeological Agency of Evia</t>
  </si>
  <si>
    <t>ongoing</t>
  </si>
  <si>
    <t>Kirinthos</t>
  </si>
  <si>
    <t>The purpose of the project is the excavation and enhancement of the archaeological site at Kastri, Kirinthos, with the expected outcomes of promoting and highlighting the area’s cultural heritage, increasing visitation for cultural and research purposes, and further advancing the science of archaeology.</t>
  </si>
  <si>
    <t>Kexries</t>
  </si>
  <si>
    <t>Works are to begin in summer 2026.</t>
  </si>
  <si>
    <t>The aim is to restore the “Konaki” building and convert it into a cultural centre that, beyond its aesthetic enhancement, will become functional and accessible, for the benefit of both residents and visitors.</t>
  </si>
  <si>
    <t>Works are ongoing.</t>
  </si>
  <si>
    <t>In the search for funding.</t>
  </si>
  <si>
    <t>In the search for funding for a study that would record and document the historic building stock of Northern Evia. The aim of this would be to recognise the architectural and historical heritage of the area and information of the local community and visitors.</t>
  </si>
  <si>
    <t>Awaiting the decision of the Ministry of Culture for the continuation of the festival .</t>
  </si>
  <si>
    <t>Thessaloniki Film Festival</t>
  </si>
  <si>
    <t>Not defined</t>
  </si>
  <si>
    <t>Greek National Opera</t>
  </si>
  <si>
    <t>Athens Concert Hall</t>
  </si>
  <si>
    <t>Limni, Kourkouloi</t>
  </si>
  <si>
    <t>Ministry of Education</t>
  </si>
  <si>
    <t xml:space="preserve">The 'Bridges of Music' </t>
  </si>
  <si>
    <t>Cultural and sports events_local cultural capital</t>
  </si>
  <si>
    <t>Educational, artistic and environmental action in two selected areas of N.Evia</t>
  </si>
  <si>
    <t>The project supports 196 businesses in tourism, leisure and the creative industries, including 17 operating exclusively in the cultural and creative sectors.
Indicative training topics:
_Cultural resource management and use
_Event organisation
_Cultural marketing
_Circular economy, construction and crafts
_Culture and agri-food
_Two programmes will be delivered:
A) A 250-hour programme for 50 unemployed participants, including 150 hours of theory and 100 hours of practical training.
B) A 150-hour programme for 25 employees, self-employed professionals and entrepreneurs in the cultural and creative sectors.</t>
  </si>
  <si>
    <t>Ministry of Infrastructure &amp; Transport</t>
  </si>
  <si>
    <t>Following the invitation of the Ministry of Infrastructure and Transport to the Region of Central Greece to submit a proposal for the preparation of the necessary studies for the first section of the northern road axis from Psachna to Strofyllia, the Region submitted the complete dossier on 25 November 2025, including the technical data sheets, supporting documentation and tender documents for the relevant studies. The submission deadline was 31 December 2025. The proposal is now pending evaluation by the competent authority, after which approval is expected, followed immediately by tendering.</t>
  </si>
  <si>
    <t>Region of Sterea Ellada</t>
  </si>
  <si>
    <t>https://pste.gov.gr/deltio-typou-o-perifereiarchis-stereas-elladas-fanis-spanos-eiche-synantisi-ergasias-me-ton-ypourgo-ypodomon-metaforon-christo-dima-gia-tin-poreia-ylopoiisis-ergon-kai-meleton/</t>
  </si>
  <si>
    <t>The region of Sterea Ellada has included in its programme the funding for the necessary studies, up to the point of the procurement of the project. The temporarily assigned agent has though not yet been made public and funding for the project (studies, procurement, assignment) has not been found.</t>
  </si>
  <si>
    <t>In search for funding.</t>
  </si>
  <si>
    <t>indicative completion timeframe in months</t>
  </si>
  <si>
    <t>indicative start date</t>
  </si>
  <si>
    <t>indicative end date</t>
  </si>
  <si>
    <t>latest update</t>
  </si>
  <si>
    <t>real duration in months</t>
  </si>
  <si>
    <t>exact start date</t>
  </si>
  <si>
    <t>exact end date</t>
  </si>
  <si>
    <t>Forest economy</t>
  </si>
  <si>
    <t xml:space="preserve">Reforestation </t>
  </si>
  <si>
    <t>Prevention_Forest protection, Goldammer Committee report, Actions for the mobilisation of the local communities</t>
  </si>
  <si>
    <t>Maintenance, signage and promotion of marked hiking routes in the Istiaia–Aidipsos municipality area</t>
  </si>
  <si>
    <t>APOLIPSIS programme</t>
  </si>
  <si>
    <r>
      <rPr>
        <b/>
        <sz val="10"/>
        <color theme="1"/>
        <rFont val="Arial"/>
        <family val="2"/>
      </rPr>
      <t>Superfast North Evia</t>
    </r>
    <r>
      <rPr>
        <sz val="10"/>
        <color theme="1"/>
        <rFont val="Arial"/>
        <family val="2"/>
      </rPr>
      <t>, support for businesses and households in Mantoudi, Limni, Agia Anna for upgrading internet connectivity</t>
    </r>
  </si>
  <si>
    <t>New Main Road Axis, North Evia Spine (Strofylia – Istiaia section)</t>
  </si>
  <si>
    <t>New Main Road Axis, North Evia Spine (Psachna – Strofylia section)</t>
  </si>
  <si>
    <t>New branches of the New Main Road Axis towards coastal zones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</si>
</sst>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2]\ #,##0;[Red][$€-2]\ #,##0"/>
    <numFmt numFmtId="165" formatCode="0.0%"/>
    <numFmt numFmtId="166" formatCode="[$€-2]\ #,##0;[Red]\-[$€-2]\ #,##0"/>
    <numFmt numFmtId="167" formatCode="[$€-2]\ #,##0"/>
    <numFmt numFmtId="168" formatCode="dd\.mm\.yyyy;@"/>
    <numFmt numFmtId="169" formatCode="dd/mm/yyyy"/>
  </numFmts>
  <fonts count="13" x14ac:knownFonts="1">
    <font>
      <sz val="11"/>
      <color theme="1"/>
      <name val="Calibri"/>
      <family val="2"/>
      <scheme val="minor"/>
    </font>
    <font>
      <sz val="11"/>
      <color theme="1"/>
      <name val="Arial"/>
      <family val="2"/>
    </font>
    <font>
      <sz val="14"/>
      <color theme="1"/>
      <name val="Arial"/>
      <family val="2"/>
    </font>
    <font>
      <sz val="14"/>
      <color theme="1"/>
      <name val="Calibri"/>
      <family val="2"/>
      <scheme val="minor"/>
    </font>
    <font>
      <sz val="14"/>
      <name val="Arial"/>
      <family val="2"/>
    </font>
    <font>
      <b/>
      <sz val="12"/>
      <name val="Arial"/>
      <family val="2"/>
    </font>
    <font>
      <sz val="10"/>
      <color theme="1"/>
      <name val="Arial"/>
      <family val="2"/>
    </font>
    <font>
      <sz val="10"/>
      <color theme="1"/>
      <name val="Calibri"/>
      <family val="2"/>
      <scheme val="minor"/>
    </font>
    <font>
      <u/>
      <sz val="11"/>
      <color theme="10"/>
      <name val="Calibri"/>
      <family val="2"/>
      <scheme val="minor"/>
    </font>
    <font>
      <sz val="8"/>
      <color rgb="FF4F4F4F"/>
      <name val="Roboto"/>
    </font>
    <font>
      <b/>
      <sz val="10"/>
      <color theme="1"/>
      <name val="Arial"/>
      <family val="2"/>
    </font>
    <font>
      <b/>
      <sz val="12"/>
      <color theme="1"/>
      <name val="Arial"/>
      <family val="2"/>
    </font>
    <font>
      <sz val="10"/>
      <color rgb="FFFF0000"/>
      <name val="Arial"/>
      <family val="2"/>
    </font>
  </fonts>
  <fills count="17">
    <fill>
      <patternFill patternType="none"/>
    </fill>
    <fill>
      <patternFill patternType="gray125"/>
    </fill>
    <fill>
      <patternFill patternType="solid">
        <fgColor theme="5" tint="0.79995117038483843"/>
        <bgColor indexed="65"/>
      </patternFill>
    </fill>
    <fill>
      <patternFill patternType="solid">
        <fgColor theme="9" tint="0.79995117038483843"/>
        <bgColor indexed="65"/>
      </patternFill>
    </fill>
    <fill>
      <patternFill patternType="solid">
        <fgColor theme="0" tint="-4.9989318521683403E-2"/>
        <bgColor indexed="65"/>
      </patternFill>
    </fill>
    <fill>
      <patternFill patternType="solid">
        <fgColor rgb="FFD9EAF7"/>
      </patternFill>
    </fill>
    <fill>
      <patternFill patternType="solid">
        <fgColor theme="9" tint="0.79998168889431442"/>
        <bgColor indexed="64"/>
      </patternFill>
    </fill>
    <fill>
      <patternFill patternType="solid">
        <fgColor rgb="FFFFC000"/>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2"/>
        <bgColor indexed="64"/>
      </patternFill>
    </fill>
    <fill>
      <patternFill patternType="solid">
        <fgColor theme="3" tint="0.499984740745262"/>
        <bgColor indexed="6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B7C9D6"/>
      </left>
      <right style="thin">
        <color rgb="FFB7C9D6"/>
      </right>
      <top style="thin">
        <color rgb="FFB7C9D6"/>
      </top>
      <bottom style="thin">
        <color rgb="FFB7C9D6"/>
      </bottom>
      <diagonal/>
    </border>
    <border>
      <left style="thin">
        <color rgb="FFB7C9D6"/>
      </left>
      <right style="thin">
        <color rgb="FFB7C9D6"/>
      </right>
      <top style="thin">
        <color rgb="FFB7C9D6"/>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8" fillId="0" borderId="0" applyNumberFormat="0" applyFill="0" applyBorder="0" applyAlignment="0" applyProtection="0"/>
  </cellStyleXfs>
  <cellXfs count="71">
    <xf numFmtId="0" fontId="0" fillId="0" borderId="0" xfId="0"/>
    <xf numFmtId="0" fontId="1" fillId="0" borderId="0" xfId="0" applyFont="1"/>
    <xf numFmtId="0" fontId="2" fillId="4" borderId="1" xfId="0" applyFont="1" applyFill="1" applyBorder="1"/>
    <xf numFmtId="0" fontId="3" fillId="4" borderId="1" xfId="0" applyFont="1" applyFill="1" applyBorder="1"/>
    <xf numFmtId="0" fontId="0" fillId="0" borderId="0" xfId="0" applyAlignment="1">
      <alignment wrapText="1"/>
    </xf>
    <xf numFmtId="0" fontId="4" fillId="4" borderId="1" xfId="0" applyFont="1" applyFill="1" applyBorder="1"/>
    <xf numFmtId="0" fontId="5" fillId="5" borderId="2" xfId="0" applyFont="1" applyFill="1" applyBorder="1" applyAlignment="1">
      <alignment horizontal="center" vertical="center" wrapText="1"/>
    </xf>
    <xf numFmtId="0" fontId="1" fillId="0" borderId="0" xfId="0" applyFont="1" applyAlignment="1">
      <alignment vertical="top"/>
    </xf>
    <xf numFmtId="0" fontId="1" fillId="0" borderId="0" xfId="0" applyFont="1" applyAlignment="1">
      <alignment vertical="top" wrapText="1"/>
    </xf>
    <xf numFmtId="0" fontId="1" fillId="2" borderId="0" xfId="0" applyFont="1" applyFill="1" applyAlignment="1">
      <alignment vertical="top"/>
    </xf>
    <xf numFmtId="0" fontId="1" fillId="3" borderId="0" xfId="0" applyFont="1" applyFill="1" applyAlignment="1">
      <alignment vertical="top"/>
    </xf>
    <xf numFmtId="164" fontId="1" fillId="0" borderId="0" xfId="0" applyNumberFormat="1" applyFont="1" applyAlignment="1">
      <alignment vertical="top" wrapText="1"/>
    </xf>
    <xf numFmtId="3" fontId="1" fillId="0" borderId="0" xfId="0" applyNumberFormat="1" applyFont="1" applyAlignment="1">
      <alignment wrapText="1"/>
    </xf>
    <xf numFmtId="165" fontId="1" fillId="0" borderId="0" xfId="0" applyNumberFormat="1" applyFont="1" applyAlignment="1">
      <alignment wrapText="1"/>
    </xf>
    <xf numFmtId="165" fontId="0" fillId="0" borderId="0" xfId="0" applyNumberFormat="1" applyAlignment="1">
      <alignment wrapText="1"/>
    </xf>
    <xf numFmtId="165" fontId="0" fillId="0" borderId="0" xfId="0" applyNumberFormat="1"/>
    <xf numFmtId="0" fontId="6" fillId="0" borderId="0" xfId="0" applyFont="1" applyAlignment="1">
      <alignment vertical="top"/>
    </xf>
    <xf numFmtId="0" fontId="6" fillId="0" borderId="0" xfId="0" applyFont="1" applyAlignment="1">
      <alignment vertical="top" wrapText="1"/>
    </xf>
    <xf numFmtId="0" fontId="6" fillId="3" borderId="0" xfId="0" applyFont="1" applyFill="1" applyAlignment="1">
      <alignment vertical="top"/>
    </xf>
    <xf numFmtId="164" fontId="6" fillId="0" borderId="0" xfId="0" applyNumberFormat="1" applyFont="1" applyAlignment="1">
      <alignment vertical="top" wrapText="1"/>
    </xf>
    <xf numFmtId="0" fontId="6" fillId="0" borderId="0" xfId="0" applyFont="1"/>
    <xf numFmtId="0" fontId="7" fillId="0" borderId="0" xfId="0" applyFont="1"/>
    <xf numFmtId="0" fontId="5" fillId="5" borderId="3" xfId="0" applyFont="1" applyFill="1" applyBorder="1" applyAlignment="1">
      <alignment horizontal="center" vertical="center" wrapText="1"/>
    </xf>
    <xf numFmtId="0" fontId="6" fillId="2" borderId="0" xfId="0" applyFont="1" applyFill="1" applyAlignment="1">
      <alignment vertical="top"/>
    </xf>
    <xf numFmtId="0" fontId="6" fillId="6" borderId="0" xfId="0" applyFont="1" applyFill="1" applyAlignment="1">
      <alignment vertical="top"/>
    </xf>
    <xf numFmtId="0" fontId="6" fillId="7" borderId="0" xfId="0" applyFont="1" applyFill="1" applyAlignment="1">
      <alignment vertical="top"/>
    </xf>
    <xf numFmtId="0" fontId="6" fillId="8" borderId="0" xfId="0" applyFont="1" applyFill="1" applyAlignment="1">
      <alignment vertical="top"/>
    </xf>
    <xf numFmtId="0" fontId="6" fillId="9" borderId="0" xfId="0" applyFont="1" applyFill="1" applyAlignment="1">
      <alignment vertical="top"/>
    </xf>
    <xf numFmtId="0" fontId="6" fillId="10" borderId="0" xfId="0" applyFont="1" applyFill="1" applyAlignment="1">
      <alignment vertical="top"/>
    </xf>
    <xf numFmtId="0" fontId="6" fillId="11" borderId="0" xfId="0" applyFont="1" applyFill="1" applyAlignment="1">
      <alignment vertical="top"/>
    </xf>
    <xf numFmtId="0" fontId="6" fillId="12" borderId="0" xfId="0" applyFont="1" applyFill="1" applyAlignment="1">
      <alignment vertical="top"/>
    </xf>
    <xf numFmtId="0" fontId="6" fillId="13" borderId="0" xfId="0" applyFont="1" applyFill="1" applyAlignment="1">
      <alignment vertical="top"/>
    </xf>
    <xf numFmtId="0" fontId="0" fillId="13" borderId="0" xfId="0" applyFill="1"/>
    <xf numFmtId="0" fontId="0" fillId="13" borderId="0" xfId="0" applyFill="1" applyAlignment="1">
      <alignment wrapText="1"/>
    </xf>
    <xf numFmtId="0" fontId="0" fillId="0" borderId="0" xfId="0" quotePrefix="1" applyAlignment="1">
      <alignment wrapText="1"/>
    </xf>
    <xf numFmtId="164" fontId="6" fillId="0" borderId="0" xfId="0" applyNumberFormat="1" applyFont="1" applyAlignment="1">
      <alignment vertical="center" wrapText="1"/>
    </xf>
    <xf numFmtId="0" fontId="6" fillId="0" borderId="0" xfId="0" applyFont="1" applyAlignment="1">
      <alignment vertical="center"/>
    </xf>
    <xf numFmtId="167" fontId="1" fillId="0" borderId="0" xfId="0" applyNumberFormat="1" applyFont="1" applyAlignment="1">
      <alignment wrapText="1"/>
    </xf>
    <xf numFmtId="167" fontId="0" fillId="0" borderId="0" xfId="0" applyNumberFormat="1"/>
    <xf numFmtId="0" fontId="8" fillId="0" borderId="0" xfId="1" applyAlignment="1">
      <alignment wrapText="1"/>
    </xf>
    <xf numFmtId="0" fontId="6" fillId="0" borderId="0" xfId="0" applyFont="1" applyAlignment="1">
      <alignment wrapText="1"/>
    </xf>
    <xf numFmtId="0" fontId="6" fillId="0" borderId="0" xfId="0" applyFont="1" applyAlignment="1">
      <alignment vertical="center" wrapText="1"/>
    </xf>
    <xf numFmtId="0" fontId="6" fillId="0" borderId="0" xfId="0" quotePrefix="1" applyFont="1" applyAlignment="1">
      <alignment vertical="top" wrapText="1"/>
    </xf>
    <xf numFmtId="0" fontId="6" fillId="0" borderId="0" xfId="0" applyFont="1" applyAlignment="1">
      <alignment horizontal="right" wrapText="1"/>
    </xf>
    <xf numFmtId="166" fontId="9" fillId="0" borderId="0" xfId="0" applyNumberFormat="1" applyFont="1"/>
    <xf numFmtId="0" fontId="6" fillId="14" borderId="0" xfId="0" applyFont="1" applyFill="1" applyAlignment="1">
      <alignment vertical="top" wrapText="1"/>
    </xf>
    <xf numFmtId="164" fontId="6" fillId="14" borderId="0" xfId="0" applyNumberFormat="1" applyFont="1" applyFill="1" applyAlignment="1">
      <alignment vertical="top" wrapText="1"/>
    </xf>
    <xf numFmtId="0" fontId="6" fillId="14" borderId="0" xfId="0" applyFont="1" applyFill="1"/>
    <xf numFmtId="0" fontId="7" fillId="14" borderId="0" xfId="0" applyFont="1" applyFill="1"/>
    <xf numFmtId="0" fontId="11" fillId="0" borderId="0" xfId="0" applyFont="1"/>
    <xf numFmtId="0" fontId="6" fillId="15" borderId="0" xfId="0" applyFont="1" applyFill="1" applyAlignment="1">
      <alignment vertical="top"/>
    </xf>
    <xf numFmtId="0" fontId="6" fillId="0" borderId="0" xfId="0" applyFont="1" applyAlignment="1">
      <alignment horizontal="right"/>
    </xf>
    <xf numFmtId="168" fontId="6" fillId="0" borderId="0" xfId="0" applyNumberFormat="1" applyFont="1" applyAlignment="1">
      <alignment horizontal="right" vertical="top" wrapText="1"/>
    </xf>
    <xf numFmtId="164" fontId="1" fillId="0" borderId="0" xfId="0" applyNumberFormat="1" applyFont="1" applyAlignment="1">
      <alignment horizontal="right" vertical="top" wrapText="1"/>
    </xf>
    <xf numFmtId="164" fontId="6" fillId="16" borderId="4" xfId="0" applyNumberFormat="1" applyFont="1" applyFill="1" applyBorder="1" applyAlignment="1">
      <alignment vertical="top" wrapText="1"/>
    </xf>
    <xf numFmtId="0" fontId="6" fillId="16" borderId="4" xfId="0" applyFont="1" applyFill="1" applyBorder="1" applyAlignment="1">
      <alignment vertical="top"/>
    </xf>
    <xf numFmtId="0" fontId="6" fillId="0" borderId="0" xfId="0" applyFont="1" applyAlignment="1">
      <alignment horizontal="right" vertical="top" wrapText="1"/>
    </xf>
    <xf numFmtId="0" fontId="12" fillId="0" borderId="0" xfId="0" applyFont="1" applyAlignment="1">
      <alignment vertical="top" wrapText="1"/>
    </xf>
    <xf numFmtId="164" fontId="1" fillId="14" borderId="0" xfId="0" applyNumberFormat="1" applyFont="1" applyFill="1" applyAlignment="1">
      <alignment vertical="top" wrapText="1"/>
    </xf>
    <xf numFmtId="169" fontId="0" fillId="0" borderId="0" xfId="0" applyNumberFormat="1" applyAlignment="1">
      <alignment horizontal="center" vertical="center"/>
    </xf>
    <xf numFmtId="0" fontId="0" fillId="0" borderId="0" xfId="0" applyAlignment="1">
      <alignment horizontal="center" vertical="center"/>
    </xf>
    <xf numFmtId="0" fontId="7" fillId="0" borderId="0" xfId="0" applyFont="1" applyAlignment="1">
      <alignment horizontal="right"/>
    </xf>
    <xf numFmtId="169" fontId="0" fillId="0" borderId="0" xfId="0" applyNumberFormat="1" applyAlignment="1">
      <alignment horizontal="right" vertical="center"/>
    </xf>
    <xf numFmtId="0" fontId="0" fillId="0" borderId="0" xfId="0" applyAlignment="1">
      <alignment horizontal="right" vertical="center"/>
    </xf>
    <xf numFmtId="168" fontId="0" fillId="0" borderId="0" xfId="0" applyNumberFormat="1" applyAlignment="1">
      <alignment horizontal="right"/>
    </xf>
    <xf numFmtId="0" fontId="0" fillId="14" borderId="0" xfId="0" applyFill="1" applyAlignment="1">
      <alignment horizontal="right" vertical="center"/>
    </xf>
    <xf numFmtId="169" fontId="0" fillId="14" borderId="0" xfId="0" applyNumberFormat="1" applyFill="1" applyAlignment="1">
      <alignment horizontal="right" vertical="center"/>
    </xf>
    <xf numFmtId="0" fontId="0" fillId="14" borderId="0" xfId="0" applyFill="1" applyAlignment="1">
      <alignment horizontal="center" vertical="center"/>
    </xf>
    <xf numFmtId="169" fontId="0" fillId="14" borderId="0" xfId="0" applyNumberFormat="1" applyFill="1" applyAlignment="1">
      <alignment horizontal="center" vertical="center"/>
    </xf>
    <xf numFmtId="0" fontId="0" fillId="0" borderId="0" xfId="0" applyAlignment="1">
      <alignment horizontal="center" vertical="center" wrapText="1"/>
    </xf>
    <xf numFmtId="0" fontId="6"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ste.gov.gr/deltio-typou-o-perifereiarchis-stereas-elladas-fanis-spanos-eiche-synantisi-ergasias-me-ton-ypourgo-ypodomon-metaforon-christo-dima-gia-tin-poreia-ylopoiisis-ergon-kai-meleton/"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rasinotameio.gr/organismos/skopos/" TargetMode="External"/><Relationship Id="rId2" Type="http://schemas.openxmlformats.org/officeDocument/2006/relationships/hyperlink" Target="https://www.espa.gr/el/Pages/staticPStereaEllada.aspx" TargetMode="External"/><Relationship Id="rId1" Type="http://schemas.openxmlformats.org/officeDocument/2006/relationships/hyperlink" Target="https://2014-2020.espa.gr/el/Pages/staticOPStereaEllada.aspx" TargetMode="External"/><Relationship Id="rId6" Type="http://schemas.openxmlformats.org/officeDocument/2006/relationships/hyperlink" Target="https://2014-2020.espa.gr/el/Pages/staticAgrotikiAnaptyxi.aspx" TargetMode="External"/><Relationship Id="rId5" Type="http://schemas.openxmlformats.org/officeDocument/2006/relationships/hyperlink" Target="https://21-27.antagonistikotita.gr/en/programme-competitiveness/" TargetMode="External"/><Relationship Id="rId4" Type="http://schemas.openxmlformats.org/officeDocument/2006/relationships/hyperlink" Target="https://peka-program.g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01"/>
  <sheetViews>
    <sheetView tabSelected="1" zoomScale="145" zoomScaleNormal="145" workbookViewId="0">
      <pane ySplit="1" topLeftCell="A87" activePane="bottomLeft" state="frozen"/>
      <selection pane="bottomLeft" activeCell="C4" sqref="C4"/>
    </sheetView>
  </sheetViews>
  <sheetFormatPr defaultRowHeight="14.5" x14ac:dyDescent="0.35"/>
  <cols>
    <col min="1" max="1" width="9" customWidth="1"/>
    <col min="2" max="2" width="36" style="4" customWidth="1"/>
    <col min="3" max="3" width="60" style="4" customWidth="1"/>
    <col min="4" max="4" width="17.90625" customWidth="1"/>
    <col min="5" max="5" width="26.26953125" customWidth="1"/>
    <col min="6" max="6" width="9" customWidth="1"/>
    <col min="7" max="8" width="9.90625" customWidth="1"/>
    <col min="9" max="9" width="11.1796875" customWidth="1"/>
    <col min="10" max="10" width="5.453125" customWidth="1"/>
    <col min="11" max="11" width="20" customWidth="1"/>
    <col min="12" max="12" width="20.6328125" customWidth="1"/>
    <col min="13" max="13" width="14.81640625" customWidth="1"/>
    <col min="14" max="14" width="9" customWidth="1"/>
    <col min="15" max="15" width="11.1796875" customWidth="1"/>
    <col min="16" max="16" width="14.6328125" customWidth="1"/>
    <col min="17" max="18" width="11.36328125" customWidth="1"/>
    <col min="19" max="19" width="10.7265625" customWidth="1"/>
    <col min="20" max="20" width="10.90625" customWidth="1"/>
    <col min="21" max="21" width="17.6328125" customWidth="1"/>
    <col min="22" max="22" width="15" customWidth="1"/>
    <col min="23" max="23" width="38.81640625" customWidth="1"/>
    <col min="24" max="24" width="18.7265625" customWidth="1"/>
    <col min="25" max="25" width="80.6328125" customWidth="1"/>
    <col min="26" max="26" width="6.08984375" customWidth="1"/>
    <col min="27" max="27" width="7.08984375" customWidth="1"/>
    <col min="28" max="28" width="3.54296875" customWidth="1"/>
    <col min="29" max="29" width="5.453125" customWidth="1"/>
    <col min="30" max="30" width="6.453125" customWidth="1"/>
    <col min="31" max="31" width="4.36328125" customWidth="1"/>
    <col min="32" max="32" width="4.54296875" customWidth="1"/>
    <col min="33" max="33" width="7.36328125" customWidth="1"/>
  </cols>
  <sheetData>
    <row r="1" spans="1:33" s="5" customFormat="1" ht="63" customHeight="1" x14ac:dyDescent="0.35">
      <c r="A1" s="6" t="s">
        <v>0</v>
      </c>
      <c r="B1" s="6" t="s">
        <v>1</v>
      </c>
      <c r="C1" s="6" t="s">
        <v>341</v>
      </c>
      <c r="D1" s="22" t="s">
        <v>2</v>
      </c>
      <c r="E1" s="6" t="s">
        <v>3</v>
      </c>
      <c r="F1" s="6" t="s">
        <v>4</v>
      </c>
      <c r="G1" s="6" t="s">
        <v>5</v>
      </c>
      <c r="H1" s="6" t="s">
        <v>6</v>
      </c>
      <c r="I1" s="6" t="s">
        <v>7</v>
      </c>
      <c r="J1" s="6" t="s">
        <v>8</v>
      </c>
      <c r="K1" s="6" t="s">
        <v>316</v>
      </c>
      <c r="L1" s="6" t="s">
        <v>317</v>
      </c>
      <c r="M1" s="6" t="s">
        <v>320</v>
      </c>
      <c r="N1" s="6" t="s">
        <v>440</v>
      </c>
      <c r="O1" s="6" t="s">
        <v>441</v>
      </c>
      <c r="P1" s="6" t="s">
        <v>442</v>
      </c>
      <c r="Q1" s="6" t="s">
        <v>445</v>
      </c>
      <c r="R1" s="6" t="s">
        <v>446</v>
      </c>
      <c r="S1" s="6" t="s">
        <v>444</v>
      </c>
      <c r="T1" s="6" t="s">
        <v>443</v>
      </c>
      <c r="U1" s="6" t="s">
        <v>321</v>
      </c>
      <c r="V1" s="6" t="s">
        <v>322</v>
      </c>
      <c r="W1" s="6" t="s">
        <v>319</v>
      </c>
      <c r="X1" s="6" t="s">
        <v>325</v>
      </c>
      <c r="Y1" s="6" t="s">
        <v>328</v>
      </c>
    </row>
    <row r="2" spans="1:33" s="21" customFormat="1" ht="32" customHeight="1" x14ac:dyDescent="0.35">
      <c r="A2" s="16" t="s">
        <v>9</v>
      </c>
      <c r="B2" s="17" t="s">
        <v>454</v>
      </c>
      <c r="C2" s="17"/>
      <c r="D2" s="23" t="s">
        <v>10</v>
      </c>
      <c r="E2" s="17" t="s">
        <v>11</v>
      </c>
      <c r="F2" s="18" t="s">
        <v>12</v>
      </c>
      <c r="G2" s="31" t="s">
        <v>13</v>
      </c>
      <c r="H2" s="31" t="s">
        <v>13</v>
      </c>
      <c r="I2" s="31" t="s">
        <v>13</v>
      </c>
      <c r="J2" s="31" t="s">
        <v>13</v>
      </c>
      <c r="K2" s="17" t="s">
        <v>434</v>
      </c>
      <c r="M2" s="19">
        <v>230000000</v>
      </c>
      <c r="N2" s="61">
        <f t="shared" ref="N2:N14" si="0">IF(OR(O2="",P2=""),"",12*(YEAR(P2)-YEAR(O2))+MONTH(P2)-MONTH(O2)+1)</f>
        <v>67</v>
      </c>
      <c r="O2" s="62">
        <v>45444</v>
      </c>
      <c r="P2" s="62">
        <v>47483</v>
      </c>
      <c r="Q2" s="59">
        <v>45986</v>
      </c>
      <c r="R2" s="60"/>
      <c r="S2" s="17"/>
      <c r="T2" s="59">
        <v>45991</v>
      </c>
      <c r="W2" s="40" t="s">
        <v>435</v>
      </c>
      <c r="X2" s="20"/>
      <c r="Y2" s="39" t="s">
        <v>437</v>
      </c>
      <c r="Z2" s="20"/>
      <c r="AA2" s="20"/>
      <c r="AB2" s="20"/>
      <c r="AC2" s="20"/>
      <c r="AD2" s="20"/>
      <c r="AE2" s="20"/>
      <c r="AF2" s="20"/>
    </row>
    <row r="3" spans="1:33" s="21" customFormat="1" ht="24" customHeight="1" x14ac:dyDescent="0.3">
      <c r="A3" s="16" t="s">
        <v>15</v>
      </c>
      <c r="B3" s="17" t="s">
        <v>453</v>
      </c>
      <c r="C3" s="17"/>
      <c r="D3" s="23" t="s">
        <v>10</v>
      </c>
      <c r="E3" s="17" t="s">
        <v>16</v>
      </c>
      <c r="F3" s="18" t="s">
        <v>12</v>
      </c>
      <c r="G3" s="31" t="s">
        <v>13</v>
      </c>
      <c r="H3" s="31" t="s">
        <v>13</v>
      </c>
      <c r="I3" s="31" t="s">
        <v>13</v>
      </c>
      <c r="J3" s="31" t="s">
        <v>13</v>
      </c>
      <c r="K3" s="17" t="s">
        <v>436</v>
      </c>
      <c r="M3" s="19">
        <v>1300000</v>
      </c>
      <c r="N3" s="61">
        <f t="shared" si="0"/>
        <v>73</v>
      </c>
      <c r="O3" s="62">
        <v>45261</v>
      </c>
      <c r="P3" s="62">
        <v>47483</v>
      </c>
      <c r="Q3" s="60"/>
      <c r="R3" s="60"/>
      <c r="S3" s="17"/>
      <c r="T3" s="59">
        <v>45944</v>
      </c>
      <c r="W3" s="20"/>
      <c r="X3" s="20"/>
      <c r="Y3" s="40" t="s">
        <v>438</v>
      </c>
      <c r="Z3" s="20"/>
      <c r="AA3" s="20"/>
      <c r="AB3" s="20"/>
      <c r="AC3" s="20"/>
      <c r="AD3" s="20"/>
      <c r="AE3" s="20"/>
      <c r="AF3" s="20"/>
      <c r="AG3" s="20"/>
    </row>
    <row r="4" spans="1:33" s="21" customFormat="1" ht="24" customHeight="1" x14ac:dyDescent="0.3">
      <c r="A4" s="16" t="s">
        <v>17</v>
      </c>
      <c r="B4" s="17" t="s">
        <v>455</v>
      </c>
      <c r="C4" s="17"/>
      <c r="D4" s="23" t="s">
        <v>10</v>
      </c>
      <c r="E4" s="17" t="s">
        <v>16</v>
      </c>
      <c r="F4" s="18" t="s">
        <v>12</v>
      </c>
      <c r="G4" s="31" t="s">
        <v>13</v>
      </c>
      <c r="H4" s="31" t="s">
        <v>13</v>
      </c>
      <c r="I4" s="31" t="s">
        <v>13</v>
      </c>
      <c r="J4" s="31" t="s">
        <v>13</v>
      </c>
      <c r="K4" s="17" t="s">
        <v>436</v>
      </c>
      <c r="M4" s="19">
        <v>1000000</v>
      </c>
      <c r="N4" s="61">
        <f t="shared" si="0"/>
        <v>1</v>
      </c>
      <c r="O4" s="62">
        <v>45261</v>
      </c>
      <c r="P4" s="62">
        <v>45291</v>
      </c>
      <c r="Q4" s="60"/>
      <c r="R4" s="60"/>
      <c r="S4" s="17"/>
      <c r="T4" s="59">
        <v>45944</v>
      </c>
      <c r="W4" s="20"/>
      <c r="X4" s="20"/>
      <c r="Y4" s="40" t="s">
        <v>438</v>
      </c>
      <c r="Z4" s="20"/>
      <c r="AA4" s="20"/>
      <c r="AB4" s="20"/>
      <c r="AC4" s="20"/>
      <c r="AD4" s="20"/>
      <c r="AE4" s="20"/>
      <c r="AF4" s="20"/>
    </row>
    <row r="5" spans="1:33" s="21" customFormat="1" ht="36" customHeight="1" x14ac:dyDescent="0.3">
      <c r="A5" s="16" t="s">
        <v>18</v>
      </c>
      <c r="B5" s="17" t="s">
        <v>452</v>
      </c>
      <c r="C5" s="17"/>
      <c r="D5" s="23" t="s">
        <v>10</v>
      </c>
      <c r="E5" s="17" t="s">
        <v>19</v>
      </c>
      <c r="F5" s="18" t="s">
        <v>12</v>
      </c>
      <c r="G5" s="31" t="s">
        <v>13</v>
      </c>
      <c r="H5" s="31" t="s">
        <v>13</v>
      </c>
      <c r="I5" s="31" t="s">
        <v>13</v>
      </c>
      <c r="J5" s="31" t="s">
        <v>13</v>
      </c>
      <c r="K5" s="17" t="s">
        <v>383</v>
      </c>
      <c r="M5" s="19">
        <v>200000</v>
      </c>
      <c r="N5" s="61">
        <f t="shared" si="0"/>
        <v>12</v>
      </c>
      <c r="O5" s="62">
        <v>44927</v>
      </c>
      <c r="P5" s="62">
        <v>45291</v>
      </c>
      <c r="Q5" s="60"/>
      <c r="R5" s="60"/>
      <c r="S5" s="17"/>
      <c r="T5" s="59">
        <v>45944</v>
      </c>
      <c r="W5" s="20"/>
      <c r="X5" s="20"/>
      <c r="Y5" s="20"/>
      <c r="Z5" s="20"/>
      <c r="AA5" s="20"/>
      <c r="AB5" s="20"/>
      <c r="AC5" s="20"/>
      <c r="AD5" s="20"/>
      <c r="AE5" s="20"/>
      <c r="AF5" s="20"/>
    </row>
    <row r="6" spans="1:33" s="21" customFormat="1" ht="24" customHeight="1" x14ac:dyDescent="0.3">
      <c r="A6" s="16" t="s">
        <v>20</v>
      </c>
      <c r="B6" s="17" t="s">
        <v>301</v>
      </c>
      <c r="C6" s="17"/>
      <c r="D6" s="23" t="s">
        <v>10</v>
      </c>
      <c r="E6" s="17" t="s">
        <v>21</v>
      </c>
      <c r="F6" s="18" t="s">
        <v>12</v>
      </c>
      <c r="G6" s="18" t="s">
        <v>12</v>
      </c>
      <c r="H6" s="31" t="s">
        <v>13</v>
      </c>
      <c r="I6" s="31" t="s">
        <v>13</v>
      </c>
      <c r="J6" s="31" t="s">
        <v>13</v>
      </c>
      <c r="K6" s="17" t="s">
        <v>377</v>
      </c>
      <c r="M6" s="19">
        <v>3000000</v>
      </c>
      <c r="N6" s="61">
        <f t="shared" si="0"/>
        <v>36</v>
      </c>
      <c r="O6" s="62">
        <v>45658</v>
      </c>
      <c r="P6" s="62">
        <v>46752</v>
      </c>
      <c r="Q6" s="60"/>
      <c r="R6" s="60"/>
      <c r="S6" s="36"/>
      <c r="T6" s="59">
        <v>46007</v>
      </c>
      <c r="W6" s="20"/>
      <c r="X6" s="20"/>
      <c r="Y6" s="20" t="s">
        <v>439</v>
      </c>
      <c r="Z6" s="20"/>
      <c r="AA6" s="20"/>
      <c r="AB6" s="20"/>
      <c r="AC6" s="20"/>
      <c r="AD6" s="20"/>
      <c r="AE6" s="20"/>
      <c r="AF6" s="20"/>
    </row>
    <row r="7" spans="1:33" s="21" customFormat="1" ht="64.5" customHeight="1" x14ac:dyDescent="0.3">
      <c r="A7" s="16" t="s">
        <v>22</v>
      </c>
      <c r="B7" s="17" t="s">
        <v>451</v>
      </c>
      <c r="C7" s="17"/>
      <c r="D7" s="24" t="s">
        <v>23</v>
      </c>
      <c r="E7" s="17" t="s">
        <v>24</v>
      </c>
      <c r="F7" s="18" t="s">
        <v>12</v>
      </c>
      <c r="G7" s="18" t="s">
        <v>12</v>
      </c>
      <c r="H7" s="18" t="s">
        <v>12</v>
      </c>
      <c r="I7" s="18" t="s">
        <v>12</v>
      </c>
      <c r="J7" s="18" t="s">
        <v>12</v>
      </c>
      <c r="K7" s="17" t="s">
        <v>356</v>
      </c>
      <c r="M7" s="35">
        <v>30000</v>
      </c>
      <c r="N7" s="61">
        <f t="shared" si="0"/>
        <v>13</v>
      </c>
      <c r="O7" s="62">
        <v>44713</v>
      </c>
      <c r="P7" s="62">
        <v>45107</v>
      </c>
      <c r="Q7" s="60"/>
      <c r="R7" s="60"/>
      <c r="S7" s="36"/>
      <c r="T7" s="59">
        <v>45925</v>
      </c>
      <c r="W7" s="17" t="s">
        <v>313</v>
      </c>
      <c r="X7" s="41" t="s">
        <v>326</v>
      </c>
      <c r="Y7" s="20"/>
      <c r="Z7" s="20"/>
      <c r="AA7" s="20"/>
      <c r="AB7" s="20"/>
      <c r="AC7" s="20"/>
      <c r="AD7" s="20"/>
      <c r="AE7" s="20"/>
      <c r="AF7" s="20"/>
    </row>
    <row r="8" spans="1:33" s="21" customFormat="1" ht="37" customHeight="1" x14ac:dyDescent="0.3">
      <c r="A8" s="16" t="s">
        <v>25</v>
      </c>
      <c r="B8" s="17" t="s">
        <v>314</v>
      </c>
      <c r="C8" s="17"/>
      <c r="D8" s="24" t="s">
        <v>23</v>
      </c>
      <c r="E8" s="17" t="s">
        <v>24</v>
      </c>
      <c r="F8" s="18" t="s">
        <v>12</v>
      </c>
      <c r="G8" s="18" t="s">
        <v>12</v>
      </c>
      <c r="H8" s="18" t="s">
        <v>12</v>
      </c>
      <c r="I8" s="18" t="s">
        <v>12</v>
      </c>
      <c r="J8" s="18" t="s">
        <v>12</v>
      </c>
      <c r="K8" s="41" t="s">
        <v>315</v>
      </c>
      <c r="M8" s="19">
        <v>381920</v>
      </c>
      <c r="N8" s="61">
        <f t="shared" si="0"/>
        <v>8</v>
      </c>
      <c r="O8" s="62">
        <v>44835</v>
      </c>
      <c r="P8" s="62">
        <v>45077</v>
      </c>
      <c r="Q8" s="60"/>
      <c r="R8" s="60"/>
      <c r="S8" s="36"/>
      <c r="T8" s="59">
        <v>45925</v>
      </c>
      <c r="W8" s="40" t="s">
        <v>323</v>
      </c>
      <c r="X8" s="41" t="s">
        <v>327</v>
      </c>
      <c r="Y8" s="40" t="s">
        <v>329</v>
      </c>
      <c r="Z8" s="20"/>
      <c r="AA8" s="20"/>
      <c r="AB8" s="20"/>
      <c r="AC8" s="20"/>
      <c r="AD8" s="20"/>
      <c r="AE8" s="20"/>
      <c r="AF8" s="20"/>
    </row>
    <row r="9" spans="1:33" s="21" customFormat="1" ht="36" customHeight="1" x14ac:dyDescent="0.3">
      <c r="A9" s="16" t="s">
        <v>26</v>
      </c>
      <c r="B9" s="17" t="s">
        <v>450</v>
      </c>
      <c r="C9" s="17"/>
      <c r="D9" s="24" t="s">
        <v>23</v>
      </c>
      <c r="E9" s="17" t="s">
        <v>27</v>
      </c>
      <c r="F9" s="18" t="s">
        <v>12</v>
      </c>
      <c r="G9" s="18" t="s">
        <v>12</v>
      </c>
      <c r="H9" s="18" t="s">
        <v>12</v>
      </c>
      <c r="I9" s="31" t="s">
        <v>13</v>
      </c>
      <c r="J9" s="31" t="s">
        <v>13</v>
      </c>
      <c r="K9" s="41" t="s">
        <v>318</v>
      </c>
      <c r="L9" s="17"/>
      <c r="M9" s="19">
        <v>304800</v>
      </c>
      <c r="N9" s="61">
        <f t="shared" si="0"/>
        <v>12</v>
      </c>
      <c r="O9" s="62">
        <v>44866</v>
      </c>
      <c r="P9" s="62">
        <v>45230</v>
      </c>
      <c r="Q9" s="60"/>
      <c r="R9" s="60"/>
      <c r="S9" s="36"/>
      <c r="T9" s="59">
        <v>45925</v>
      </c>
      <c r="U9" s="19">
        <v>99695</v>
      </c>
      <c r="V9" s="36">
        <v>2025</v>
      </c>
      <c r="W9" s="40" t="s">
        <v>324</v>
      </c>
      <c r="X9" s="36" t="s">
        <v>330</v>
      </c>
      <c r="Y9" s="17" t="s">
        <v>336</v>
      </c>
      <c r="Z9" s="20"/>
      <c r="AA9" s="20"/>
      <c r="AB9" s="20"/>
      <c r="AC9" s="20"/>
      <c r="AD9" s="20"/>
      <c r="AE9" s="20"/>
      <c r="AF9" s="20"/>
    </row>
    <row r="10" spans="1:33" s="21" customFormat="1" ht="24" customHeight="1" x14ac:dyDescent="0.3">
      <c r="A10" s="16" t="s">
        <v>28</v>
      </c>
      <c r="B10" s="17" t="s">
        <v>29</v>
      </c>
      <c r="C10" s="17"/>
      <c r="D10" s="24" t="s">
        <v>23</v>
      </c>
      <c r="E10" s="17" t="s">
        <v>30</v>
      </c>
      <c r="F10" s="18" t="s">
        <v>12</v>
      </c>
      <c r="G10" s="18" t="s">
        <v>12</v>
      </c>
      <c r="H10" s="18" t="s">
        <v>12</v>
      </c>
      <c r="I10" s="18" t="s">
        <v>12</v>
      </c>
      <c r="J10" s="18" t="s">
        <v>12</v>
      </c>
      <c r="K10" s="17" t="s">
        <v>331</v>
      </c>
      <c r="L10" s="41" t="s">
        <v>332</v>
      </c>
      <c r="M10" s="19">
        <v>30000</v>
      </c>
      <c r="N10" s="61">
        <f t="shared" si="0"/>
        <v>6</v>
      </c>
      <c r="O10" s="62">
        <v>44835</v>
      </c>
      <c r="P10" s="62">
        <v>45016</v>
      </c>
      <c r="Q10" s="60"/>
      <c r="R10" s="60"/>
      <c r="S10" s="36"/>
      <c r="T10" s="59">
        <v>45925</v>
      </c>
      <c r="W10" s="17" t="s">
        <v>334</v>
      </c>
      <c r="X10" s="41" t="s">
        <v>326</v>
      </c>
      <c r="Y10" s="40" t="s">
        <v>333</v>
      </c>
      <c r="Z10" s="20"/>
      <c r="AA10" s="20"/>
      <c r="AB10" s="20"/>
      <c r="AC10" s="20"/>
      <c r="AD10" s="20"/>
      <c r="AE10" s="20"/>
      <c r="AF10" s="20"/>
    </row>
    <row r="11" spans="1:33" s="21" customFormat="1" ht="14.65" customHeight="1" x14ac:dyDescent="0.3">
      <c r="A11" s="16" t="s">
        <v>31</v>
      </c>
      <c r="B11" s="17" t="s">
        <v>32</v>
      </c>
      <c r="C11" s="17"/>
      <c r="D11" s="24" t="s">
        <v>23</v>
      </c>
      <c r="E11" s="17" t="s">
        <v>27</v>
      </c>
      <c r="F11" s="18" t="s">
        <v>12</v>
      </c>
      <c r="G11" s="18" t="s">
        <v>12</v>
      </c>
      <c r="H11" s="18" t="s">
        <v>12</v>
      </c>
      <c r="I11" s="31" t="s">
        <v>13</v>
      </c>
      <c r="J11" s="31" t="s">
        <v>13</v>
      </c>
      <c r="K11" s="17" t="s">
        <v>14</v>
      </c>
      <c r="L11" s="17" t="s">
        <v>14</v>
      </c>
      <c r="M11" s="19">
        <v>125860</v>
      </c>
      <c r="N11" s="61">
        <f t="shared" si="0"/>
        <v>9</v>
      </c>
      <c r="O11" s="62">
        <v>45323</v>
      </c>
      <c r="P11" s="62">
        <v>45596</v>
      </c>
      <c r="Q11" s="60"/>
      <c r="R11" s="60"/>
      <c r="S11" s="20"/>
      <c r="T11" s="59">
        <v>45925</v>
      </c>
      <c r="U11" s="19">
        <v>326199.82</v>
      </c>
      <c r="V11" s="36">
        <v>2025</v>
      </c>
      <c r="W11" s="20"/>
      <c r="X11" s="36"/>
      <c r="Y11" s="17" t="s">
        <v>335</v>
      </c>
      <c r="Z11" s="20"/>
      <c r="AA11" s="20"/>
      <c r="AB11" s="20"/>
      <c r="AC11" s="20"/>
      <c r="AD11" s="20"/>
      <c r="AE11" s="20"/>
      <c r="AF11" s="20"/>
    </row>
    <row r="12" spans="1:33" s="21" customFormat="1" ht="46" customHeight="1" x14ac:dyDescent="0.3">
      <c r="A12" s="16" t="s">
        <v>33</v>
      </c>
      <c r="B12" s="17" t="s">
        <v>34</v>
      </c>
      <c r="C12" s="17"/>
      <c r="D12" s="24" t="s">
        <v>23</v>
      </c>
      <c r="E12" s="17" t="s">
        <v>19</v>
      </c>
      <c r="F12" s="18" t="s">
        <v>12</v>
      </c>
      <c r="G12" s="31" t="s">
        <v>13</v>
      </c>
      <c r="H12" s="31" t="s">
        <v>13</v>
      </c>
      <c r="I12" s="31" t="s">
        <v>13</v>
      </c>
      <c r="J12" s="31" t="s">
        <v>13</v>
      </c>
      <c r="K12" s="41" t="s">
        <v>315</v>
      </c>
      <c r="L12" s="17" t="s">
        <v>337</v>
      </c>
      <c r="M12" s="19">
        <v>1200000</v>
      </c>
      <c r="N12" s="61">
        <f t="shared" si="0"/>
        <v>56</v>
      </c>
      <c r="O12" s="62">
        <v>45047</v>
      </c>
      <c r="P12" s="62">
        <v>46752</v>
      </c>
      <c r="Q12" s="60"/>
      <c r="R12" s="60"/>
      <c r="S12" s="20"/>
      <c r="T12" s="59">
        <v>45944</v>
      </c>
      <c r="W12" s="20"/>
      <c r="X12" s="20"/>
      <c r="Y12" s="20"/>
      <c r="Z12" s="20"/>
      <c r="AA12" s="20"/>
      <c r="AB12" s="20"/>
      <c r="AC12" s="20"/>
      <c r="AD12" s="20"/>
      <c r="AE12" s="20"/>
      <c r="AF12" s="20"/>
    </row>
    <row r="13" spans="1:33" s="21" customFormat="1" ht="24" customHeight="1" x14ac:dyDescent="0.3">
      <c r="A13" s="16" t="s">
        <v>35</v>
      </c>
      <c r="B13" s="17" t="s">
        <v>36</v>
      </c>
      <c r="C13" s="17"/>
      <c r="D13" s="24" t="s">
        <v>23</v>
      </c>
      <c r="E13" s="17" t="s">
        <v>37</v>
      </c>
      <c r="F13" s="18" t="s">
        <v>12</v>
      </c>
      <c r="G13" s="18" t="s">
        <v>12</v>
      </c>
      <c r="H13" s="18" t="s">
        <v>12</v>
      </c>
      <c r="I13" s="18" t="s">
        <v>12</v>
      </c>
      <c r="J13" s="18" t="s">
        <v>12</v>
      </c>
      <c r="K13" s="17" t="s">
        <v>338</v>
      </c>
      <c r="L13" s="17" t="s">
        <v>14</v>
      </c>
      <c r="M13" s="19">
        <v>780000</v>
      </c>
      <c r="N13" s="63">
        <f t="shared" si="0"/>
        <v>10</v>
      </c>
      <c r="O13" s="62">
        <v>44835</v>
      </c>
      <c r="P13" s="62">
        <v>45138</v>
      </c>
      <c r="Q13" s="60"/>
      <c r="R13" s="60"/>
      <c r="S13" s="20"/>
      <c r="T13" s="59">
        <v>45925</v>
      </c>
      <c r="W13" s="20"/>
      <c r="X13" s="20"/>
      <c r="Y13" s="20"/>
      <c r="Z13" s="20"/>
      <c r="AA13" s="20"/>
      <c r="AB13" s="20"/>
      <c r="AC13" s="20"/>
      <c r="AD13" s="20"/>
      <c r="AE13" s="20"/>
      <c r="AF13" s="20"/>
    </row>
    <row r="14" spans="1:33" s="21" customFormat="1" ht="33.5" customHeight="1" x14ac:dyDescent="0.3">
      <c r="A14" s="16" t="s">
        <v>38</v>
      </c>
      <c r="B14" s="42" t="s">
        <v>449</v>
      </c>
      <c r="C14" s="42"/>
      <c r="D14" s="24" t="s">
        <v>23</v>
      </c>
      <c r="E14" s="17" t="s">
        <v>19</v>
      </c>
      <c r="F14" s="18" t="s">
        <v>12</v>
      </c>
      <c r="G14" s="31" t="s">
        <v>13</v>
      </c>
      <c r="H14" s="31" t="s">
        <v>13</v>
      </c>
      <c r="I14" s="31" t="s">
        <v>13</v>
      </c>
      <c r="J14" s="31" t="s">
        <v>13</v>
      </c>
      <c r="K14" s="17" t="s">
        <v>340</v>
      </c>
      <c r="L14" s="17" t="s">
        <v>14</v>
      </c>
      <c r="M14" s="19">
        <v>455000</v>
      </c>
      <c r="N14" s="63">
        <f t="shared" si="0"/>
        <v>1</v>
      </c>
      <c r="O14" s="62">
        <v>45261</v>
      </c>
      <c r="P14" s="62">
        <v>45291</v>
      </c>
      <c r="Q14" s="60"/>
      <c r="R14" s="60"/>
      <c r="S14" s="20"/>
      <c r="T14" s="59">
        <v>45944</v>
      </c>
      <c r="W14" s="20"/>
      <c r="X14" s="20"/>
      <c r="Y14" s="40" t="s">
        <v>339</v>
      </c>
      <c r="Z14" s="20"/>
      <c r="AA14" s="20"/>
      <c r="AB14" s="20"/>
      <c r="AC14" s="20"/>
      <c r="AD14" s="20"/>
      <c r="AE14" s="20"/>
      <c r="AF14" s="20"/>
    </row>
    <row r="15" spans="1:33" s="21" customFormat="1" ht="66" customHeight="1" x14ac:dyDescent="0.3">
      <c r="A15" s="16" t="s">
        <v>39</v>
      </c>
      <c r="B15" s="70" t="s">
        <v>447</v>
      </c>
      <c r="C15" s="17" t="s">
        <v>351</v>
      </c>
      <c r="D15" s="24" t="s">
        <v>23</v>
      </c>
      <c r="E15" s="17" t="s">
        <v>40</v>
      </c>
      <c r="F15" s="18" t="s">
        <v>12</v>
      </c>
      <c r="G15" s="18" t="s">
        <v>12</v>
      </c>
      <c r="H15" s="18" t="s">
        <v>12</v>
      </c>
      <c r="I15" s="18" t="s">
        <v>12</v>
      </c>
      <c r="J15" s="31" t="s">
        <v>13</v>
      </c>
      <c r="K15" s="17" t="s">
        <v>342</v>
      </c>
      <c r="L15" s="41" t="s">
        <v>343</v>
      </c>
      <c r="M15" s="19">
        <v>40000</v>
      </c>
      <c r="N15" s="63">
        <v>12</v>
      </c>
      <c r="O15" s="63"/>
      <c r="P15" s="63"/>
      <c r="Q15" s="60"/>
      <c r="R15" s="60"/>
      <c r="S15" s="43"/>
      <c r="T15" s="59">
        <v>45944</v>
      </c>
      <c r="U15" s="44"/>
      <c r="W15" s="20"/>
      <c r="X15" s="20"/>
      <c r="Y15" s="70" t="s">
        <v>354</v>
      </c>
      <c r="Z15" s="20"/>
      <c r="AA15" s="20"/>
      <c r="AB15" s="20"/>
      <c r="AC15" s="20"/>
      <c r="AD15" s="20"/>
      <c r="AE15" s="20"/>
      <c r="AF15" s="20"/>
    </row>
    <row r="16" spans="1:33" s="21" customFormat="1" ht="73" customHeight="1" x14ac:dyDescent="0.3">
      <c r="A16" s="16" t="s">
        <v>41</v>
      </c>
      <c r="B16" s="70"/>
      <c r="C16" s="17" t="s">
        <v>352</v>
      </c>
      <c r="D16" s="24" t="s">
        <v>23</v>
      </c>
      <c r="E16" s="17" t="s">
        <v>19</v>
      </c>
      <c r="F16" s="18" t="s">
        <v>12</v>
      </c>
      <c r="G16" s="31" t="s">
        <v>13</v>
      </c>
      <c r="H16" s="31" t="s">
        <v>13</v>
      </c>
      <c r="I16" s="31" t="s">
        <v>13</v>
      </c>
      <c r="J16" s="31" t="s">
        <v>13</v>
      </c>
      <c r="K16" s="17" t="s">
        <v>353</v>
      </c>
      <c r="L16" s="17"/>
      <c r="M16" s="19">
        <v>540000</v>
      </c>
      <c r="N16" s="63">
        <v>12</v>
      </c>
      <c r="O16" s="63"/>
      <c r="P16" s="63"/>
      <c r="Q16" s="60"/>
      <c r="R16" s="60"/>
      <c r="S16" s="43"/>
      <c r="T16" s="59">
        <v>45944</v>
      </c>
      <c r="W16" s="20"/>
      <c r="X16" s="20"/>
      <c r="Y16" s="70"/>
      <c r="Z16" s="20"/>
      <c r="AA16" s="20"/>
      <c r="AB16" s="20"/>
      <c r="AC16" s="20"/>
      <c r="AD16" s="20"/>
      <c r="AE16" s="20"/>
      <c r="AF16" s="20"/>
    </row>
    <row r="17" spans="1:32" s="21" customFormat="1" ht="61.5" customHeight="1" x14ac:dyDescent="0.3">
      <c r="A17" s="16" t="s">
        <v>42</v>
      </c>
      <c r="B17" s="69" t="s">
        <v>448</v>
      </c>
      <c r="C17" s="17" t="s">
        <v>344</v>
      </c>
      <c r="D17" s="24" t="s">
        <v>23</v>
      </c>
      <c r="E17" s="17" t="s">
        <v>27</v>
      </c>
      <c r="F17" s="18" t="s">
        <v>12</v>
      </c>
      <c r="G17" s="18" t="s">
        <v>12</v>
      </c>
      <c r="H17" s="18" t="s">
        <v>12</v>
      </c>
      <c r="I17" s="18" t="s">
        <v>12</v>
      </c>
      <c r="J17" s="18" t="s">
        <v>12</v>
      </c>
      <c r="K17" s="17" t="s">
        <v>345</v>
      </c>
      <c r="L17" s="17" t="s">
        <v>14</v>
      </c>
      <c r="M17" s="19">
        <v>70000</v>
      </c>
      <c r="N17" s="63">
        <f t="shared" ref="N17:N32" si="1">IF(OR(O17="",P17=""),"",12*(YEAR(P17)-YEAR(O17))+MONTH(P17)-MONTH(O17)+1)</f>
        <v>18</v>
      </c>
      <c r="O17" s="62">
        <v>45108</v>
      </c>
      <c r="P17" s="62">
        <v>45657</v>
      </c>
      <c r="Q17" s="60"/>
      <c r="R17" s="60"/>
      <c r="S17" s="20"/>
      <c r="T17" s="59">
        <v>45944</v>
      </c>
      <c r="W17" s="20"/>
      <c r="X17" s="20"/>
      <c r="Y17" s="20"/>
      <c r="Z17" s="20"/>
      <c r="AA17" s="20"/>
      <c r="AB17" s="20"/>
      <c r="AC17" s="20"/>
      <c r="AD17" s="20"/>
      <c r="AE17" s="20"/>
      <c r="AF17" s="20"/>
    </row>
    <row r="18" spans="1:32" s="21" customFormat="1" ht="62.5" customHeight="1" x14ac:dyDescent="0.3">
      <c r="A18" s="16" t="s">
        <v>43</v>
      </c>
      <c r="B18" s="69"/>
      <c r="C18" s="17" t="s">
        <v>346</v>
      </c>
      <c r="D18" s="24" t="s">
        <v>23</v>
      </c>
      <c r="E18" s="17" t="s">
        <v>27</v>
      </c>
      <c r="F18" s="18" t="s">
        <v>12</v>
      </c>
      <c r="G18" s="18" t="s">
        <v>12</v>
      </c>
      <c r="H18" s="18" t="s">
        <v>12</v>
      </c>
      <c r="I18" s="18" t="s">
        <v>12</v>
      </c>
      <c r="J18" s="31" t="s">
        <v>13</v>
      </c>
      <c r="K18" s="17" t="s">
        <v>345</v>
      </c>
      <c r="L18" s="17" t="s">
        <v>14</v>
      </c>
      <c r="M18" s="19">
        <v>600000</v>
      </c>
      <c r="N18" s="63">
        <f t="shared" si="1"/>
        <v>36</v>
      </c>
      <c r="O18" s="62">
        <v>45292</v>
      </c>
      <c r="P18" s="62">
        <v>46387</v>
      </c>
      <c r="Q18" s="60"/>
      <c r="R18" s="60"/>
      <c r="S18" s="20"/>
      <c r="T18" s="59">
        <v>45944</v>
      </c>
      <c r="W18" s="20"/>
      <c r="X18" s="20"/>
      <c r="Y18" s="20"/>
      <c r="Z18" s="20"/>
      <c r="AA18" s="20"/>
      <c r="AB18" s="20"/>
      <c r="AC18" s="20"/>
      <c r="AD18" s="20"/>
      <c r="AE18" s="20"/>
      <c r="AF18" s="20"/>
    </row>
    <row r="19" spans="1:32" s="21" customFormat="1" ht="36" customHeight="1" x14ac:dyDescent="0.3">
      <c r="A19" s="16" t="s">
        <v>44</v>
      </c>
      <c r="B19" s="69"/>
      <c r="C19" s="17" t="s">
        <v>348</v>
      </c>
      <c r="D19" s="24" t="s">
        <v>23</v>
      </c>
      <c r="E19" s="17" t="s">
        <v>40</v>
      </c>
      <c r="F19" s="18" t="s">
        <v>12</v>
      </c>
      <c r="G19" s="18" t="s">
        <v>12</v>
      </c>
      <c r="H19" s="18" t="s">
        <v>12</v>
      </c>
      <c r="I19" s="18" t="s">
        <v>12</v>
      </c>
      <c r="J19" s="31" t="s">
        <v>13</v>
      </c>
      <c r="K19" s="17" t="s">
        <v>355</v>
      </c>
      <c r="L19" s="17" t="s">
        <v>14</v>
      </c>
      <c r="M19" s="19">
        <v>85000</v>
      </c>
      <c r="N19" s="63">
        <f t="shared" si="1"/>
        <v>48</v>
      </c>
      <c r="O19" s="62">
        <v>45292</v>
      </c>
      <c r="P19" s="62">
        <v>46752</v>
      </c>
      <c r="Q19" s="60"/>
      <c r="R19" s="60"/>
      <c r="S19" s="20"/>
      <c r="T19" s="59">
        <v>45944</v>
      </c>
      <c r="W19" s="20"/>
      <c r="X19" s="20"/>
      <c r="Y19" s="20"/>
      <c r="Z19" s="20"/>
      <c r="AA19" s="20"/>
      <c r="AB19" s="20"/>
      <c r="AC19" s="20"/>
      <c r="AD19" s="20"/>
      <c r="AE19" s="20"/>
      <c r="AF19" s="20"/>
    </row>
    <row r="20" spans="1:32" s="21" customFormat="1" ht="65.5" customHeight="1" x14ac:dyDescent="0.3">
      <c r="A20" s="16" t="s">
        <v>45</v>
      </c>
      <c r="B20" s="69"/>
      <c r="C20" s="17" t="s">
        <v>347</v>
      </c>
      <c r="D20" s="24" t="s">
        <v>23</v>
      </c>
      <c r="E20" s="17" t="s">
        <v>27</v>
      </c>
      <c r="F20" s="18" t="s">
        <v>12</v>
      </c>
      <c r="G20" s="18" t="s">
        <v>12</v>
      </c>
      <c r="H20" s="18" t="s">
        <v>12</v>
      </c>
      <c r="I20" s="18" t="s">
        <v>12</v>
      </c>
      <c r="J20" s="31" t="s">
        <v>13</v>
      </c>
      <c r="K20" s="17" t="s">
        <v>345</v>
      </c>
      <c r="L20" s="17" t="s">
        <v>14</v>
      </c>
      <c r="M20" s="19">
        <v>16580000</v>
      </c>
      <c r="N20" s="63">
        <f t="shared" si="1"/>
        <v>48</v>
      </c>
      <c r="O20" s="62">
        <v>45292</v>
      </c>
      <c r="P20" s="62">
        <v>46752</v>
      </c>
      <c r="Q20" s="60"/>
      <c r="R20" s="60"/>
      <c r="S20" s="20"/>
      <c r="T20" s="59">
        <v>45945</v>
      </c>
      <c r="W20" s="20"/>
      <c r="X20" s="20"/>
      <c r="Y20" s="20"/>
      <c r="Z20" s="20"/>
      <c r="AA20" s="20"/>
      <c r="AB20" s="20"/>
      <c r="AC20" s="20"/>
      <c r="AD20" s="20"/>
      <c r="AE20" s="20"/>
      <c r="AF20" s="20"/>
    </row>
    <row r="21" spans="1:32" s="21" customFormat="1" ht="24" customHeight="1" x14ac:dyDescent="0.3">
      <c r="A21" s="16" t="s">
        <v>46</v>
      </c>
      <c r="B21" s="69"/>
      <c r="C21" s="17" t="s">
        <v>349</v>
      </c>
      <c r="D21" s="24" t="s">
        <v>23</v>
      </c>
      <c r="E21" s="17" t="s">
        <v>19</v>
      </c>
      <c r="F21" s="18" t="s">
        <v>12</v>
      </c>
      <c r="G21" s="18" t="s">
        <v>12</v>
      </c>
      <c r="H21" s="18" t="s">
        <v>12</v>
      </c>
      <c r="I21" s="31" t="s">
        <v>13</v>
      </c>
      <c r="J21" s="31" t="s">
        <v>13</v>
      </c>
      <c r="K21" s="17" t="s">
        <v>345</v>
      </c>
      <c r="L21" s="17" t="s">
        <v>14</v>
      </c>
      <c r="M21" s="19">
        <v>3150000</v>
      </c>
      <c r="N21" s="63">
        <f t="shared" si="1"/>
        <v>36</v>
      </c>
      <c r="O21" s="62">
        <v>45292</v>
      </c>
      <c r="P21" s="62">
        <v>46387</v>
      </c>
      <c r="Q21" s="60"/>
      <c r="R21" s="60"/>
      <c r="S21" s="20"/>
      <c r="T21" s="59">
        <v>45944</v>
      </c>
      <c r="W21" s="20"/>
      <c r="X21" s="20"/>
      <c r="Y21" s="20"/>
      <c r="Z21" s="20"/>
      <c r="AA21" s="20"/>
      <c r="AB21" s="20"/>
      <c r="AC21" s="20"/>
      <c r="AD21" s="20"/>
      <c r="AE21" s="20"/>
      <c r="AF21" s="20"/>
    </row>
    <row r="22" spans="1:32" s="21" customFormat="1" ht="36" customHeight="1" x14ac:dyDescent="0.3">
      <c r="A22" s="16" t="s">
        <v>47</v>
      </c>
      <c r="B22" s="69"/>
      <c r="C22" s="17" t="s">
        <v>350</v>
      </c>
      <c r="D22" s="24" t="s">
        <v>23</v>
      </c>
      <c r="E22" s="17" t="s">
        <v>40</v>
      </c>
      <c r="F22" s="18" t="s">
        <v>12</v>
      </c>
      <c r="G22" s="18" t="s">
        <v>12</v>
      </c>
      <c r="H22" s="18" t="s">
        <v>12</v>
      </c>
      <c r="I22" s="31" t="s">
        <v>13</v>
      </c>
      <c r="J22" s="31" t="s">
        <v>13</v>
      </c>
      <c r="K22" s="17" t="s">
        <v>345</v>
      </c>
      <c r="L22" s="17" t="s">
        <v>14</v>
      </c>
      <c r="M22" s="19">
        <v>130000</v>
      </c>
      <c r="N22" s="63">
        <f t="shared" si="1"/>
        <v>36</v>
      </c>
      <c r="O22" s="62">
        <v>45292</v>
      </c>
      <c r="P22" s="62">
        <v>46387</v>
      </c>
      <c r="Q22" s="60"/>
      <c r="R22" s="60"/>
      <c r="S22" s="20"/>
      <c r="T22" s="59">
        <v>45944</v>
      </c>
      <c r="W22" s="20"/>
      <c r="X22" s="20"/>
      <c r="Y22" s="20"/>
      <c r="Z22" s="20"/>
      <c r="AA22" s="20"/>
      <c r="AB22" s="20"/>
      <c r="AC22" s="20"/>
      <c r="AD22" s="20"/>
      <c r="AE22" s="20"/>
      <c r="AF22" s="20"/>
    </row>
    <row r="23" spans="1:32" s="21" customFormat="1" ht="24" customHeight="1" x14ac:dyDescent="0.3">
      <c r="A23" s="16" t="s">
        <v>48</v>
      </c>
      <c r="B23" s="17" t="s">
        <v>49</v>
      </c>
      <c r="C23" s="17"/>
      <c r="D23" s="25" t="s">
        <v>50</v>
      </c>
      <c r="E23" s="17" t="s">
        <v>40</v>
      </c>
      <c r="F23" s="18" t="s">
        <v>12</v>
      </c>
      <c r="G23" s="18" t="s">
        <v>12</v>
      </c>
      <c r="H23" s="18" t="s">
        <v>12</v>
      </c>
      <c r="I23" s="18" t="s">
        <v>12</v>
      </c>
      <c r="J23" s="18" t="s">
        <v>12</v>
      </c>
      <c r="K23" s="41" t="s">
        <v>357</v>
      </c>
      <c r="L23" s="36" t="s">
        <v>357</v>
      </c>
      <c r="M23" s="19">
        <v>35000</v>
      </c>
      <c r="N23" s="63">
        <f t="shared" si="1"/>
        <v>12</v>
      </c>
      <c r="O23" s="62">
        <v>44743</v>
      </c>
      <c r="P23" s="62">
        <v>45107</v>
      </c>
      <c r="Q23" s="60"/>
      <c r="R23" s="60"/>
      <c r="S23" s="20"/>
      <c r="T23" s="59">
        <v>45944</v>
      </c>
      <c r="W23" s="40" t="s">
        <v>358</v>
      </c>
      <c r="X23" s="20"/>
      <c r="Y23" s="20"/>
      <c r="Z23" s="20"/>
      <c r="AA23" s="20"/>
      <c r="AB23" s="20"/>
      <c r="AC23" s="20"/>
      <c r="AD23" s="20"/>
      <c r="AE23" s="20"/>
      <c r="AF23" s="20"/>
    </row>
    <row r="24" spans="1:32" s="21" customFormat="1" ht="27.5" customHeight="1" thickBot="1" x14ac:dyDescent="0.35">
      <c r="A24" s="16" t="s">
        <v>51</v>
      </c>
      <c r="B24" s="17" t="s">
        <v>52</v>
      </c>
      <c r="C24" s="17"/>
      <c r="D24" s="25" t="s">
        <v>50</v>
      </c>
      <c r="E24" s="17" t="s">
        <v>19</v>
      </c>
      <c r="F24" s="18" t="s">
        <v>12</v>
      </c>
      <c r="G24" s="31" t="s">
        <v>13</v>
      </c>
      <c r="H24" s="31" t="s">
        <v>13</v>
      </c>
      <c r="I24" s="31" t="s">
        <v>13</v>
      </c>
      <c r="J24" s="31" t="s">
        <v>13</v>
      </c>
      <c r="K24" s="45"/>
      <c r="L24" s="45" t="s">
        <v>14</v>
      </c>
      <c r="M24" s="46" t="s">
        <v>14</v>
      </c>
      <c r="N24" s="65">
        <f t="shared" si="1"/>
        <v>48</v>
      </c>
      <c r="O24" s="66">
        <v>44927</v>
      </c>
      <c r="P24" s="66">
        <v>46387</v>
      </c>
      <c r="Q24" s="67"/>
      <c r="R24" s="67"/>
      <c r="S24" s="47"/>
      <c r="T24" s="68">
        <v>45944</v>
      </c>
      <c r="U24" s="48"/>
      <c r="V24" s="48"/>
      <c r="W24" s="57" t="s">
        <v>359</v>
      </c>
      <c r="X24" s="20"/>
      <c r="Y24" s="20"/>
      <c r="Z24" s="20"/>
      <c r="AA24" s="20"/>
      <c r="AB24" s="20"/>
      <c r="AC24" s="20"/>
      <c r="AD24" s="20"/>
      <c r="AE24" s="20"/>
      <c r="AF24" s="20"/>
    </row>
    <row r="25" spans="1:32" s="21" customFormat="1" ht="24" customHeight="1" thickBot="1" x14ac:dyDescent="0.4">
      <c r="A25" s="55" t="s">
        <v>53</v>
      </c>
      <c r="B25" s="17" t="s">
        <v>54</v>
      </c>
      <c r="C25" s="17"/>
      <c r="D25" s="25" t="s">
        <v>50</v>
      </c>
      <c r="E25" s="17" t="s">
        <v>21</v>
      </c>
      <c r="F25" s="18" t="s">
        <v>12</v>
      </c>
      <c r="G25" s="31" t="s">
        <v>13</v>
      </c>
      <c r="H25" s="31" t="s">
        <v>13</v>
      </c>
      <c r="I25" s="31" t="s">
        <v>13</v>
      </c>
      <c r="J25" s="31" t="s">
        <v>13</v>
      </c>
      <c r="K25" s="17" t="s">
        <v>360</v>
      </c>
      <c r="L25" s="17" t="s">
        <v>14</v>
      </c>
      <c r="M25" s="54">
        <v>500000</v>
      </c>
      <c r="N25" s="63">
        <f t="shared" si="1"/>
        <v>48</v>
      </c>
      <c r="O25" s="62">
        <v>44927</v>
      </c>
      <c r="P25" s="62">
        <v>46387</v>
      </c>
      <c r="Q25" s="60"/>
      <c r="R25" s="60"/>
      <c r="S25" s="20"/>
      <c r="T25" s="59">
        <v>45944</v>
      </c>
      <c r="W25" s="40" t="s">
        <v>361</v>
      </c>
      <c r="X25" s="20"/>
      <c r="Y25" s="49" t="s">
        <v>362</v>
      </c>
      <c r="Z25" s="20"/>
      <c r="AA25" s="20"/>
      <c r="AB25" s="20"/>
      <c r="AC25" s="20"/>
      <c r="AD25" s="20"/>
      <c r="AE25" s="20"/>
      <c r="AF25" s="20"/>
    </row>
    <row r="26" spans="1:32" s="21" customFormat="1" ht="24" customHeight="1" thickBot="1" x14ac:dyDescent="0.4">
      <c r="A26" s="55" t="s">
        <v>55</v>
      </c>
      <c r="B26" s="17" t="s">
        <v>56</v>
      </c>
      <c r="C26" s="17"/>
      <c r="D26" s="25" t="s">
        <v>50</v>
      </c>
      <c r="E26" s="17" t="s">
        <v>21</v>
      </c>
      <c r="F26" s="18" t="s">
        <v>12</v>
      </c>
      <c r="G26" s="31" t="s">
        <v>13</v>
      </c>
      <c r="H26" s="31" t="s">
        <v>13</v>
      </c>
      <c r="I26" s="31" t="s">
        <v>13</v>
      </c>
      <c r="J26" s="31" t="s">
        <v>13</v>
      </c>
      <c r="K26" s="17" t="s">
        <v>360</v>
      </c>
      <c r="L26" s="17" t="s">
        <v>14</v>
      </c>
      <c r="M26" s="54">
        <v>500000</v>
      </c>
      <c r="N26" s="63">
        <f t="shared" si="1"/>
        <v>48</v>
      </c>
      <c r="O26" s="62">
        <v>44927</v>
      </c>
      <c r="P26" s="62">
        <v>46387</v>
      </c>
      <c r="Q26" s="60"/>
      <c r="R26" s="60"/>
      <c r="S26" s="20"/>
      <c r="T26" s="59">
        <v>45944</v>
      </c>
      <c r="W26" s="40" t="s">
        <v>361</v>
      </c>
      <c r="X26" s="20"/>
      <c r="Y26" s="49" t="s">
        <v>362</v>
      </c>
      <c r="Z26" s="20"/>
      <c r="AA26" s="20"/>
      <c r="AB26" s="20"/>
      <c r="AC26" s="20"/>
      <c r="AD26" s="20"/>
      <c r="AE26" s="20"/>
      <c r="AF26" s="20"/>
    </row>
    <row r="27" spans="1:32" s="21" customFormat="1" ht="42.5" customHeight="1" x14ac:dyDescent="0.3">
      <c r="A27" s="50" t="s">
        <v>57</v>
      </c>
      <c r="B27" s="17" t="s">
        <v>58</v>
      </c>
      <c r="C27" s="17"/>
      <c r="D27" s="25" t="s">
        <v>50</v>
      </c>
      <c r="E27" s="17" t="s">
        <v>21</v>
      </c>
      <c r="F27" s="18" t="s">
        <v>12</v>
      </c>
      <c r="G27" s="18" t="s">
        <v>12</v>
      </c>
      <c r="H27" s="31" t="s">
        <v>13</v>
      </c>
      <c r="I27" s="31" t="s">
        <v>13</v>
      </c>
      <c r="J27" s="31" t="s">
        <v>13</v>
      </c>
      <c r="K27" s="17" t="s">
        <v>363</v>
      </c>
      <c r="L27" s="17" t="s">
        <v>14</v>
      </c>
      <c r="M27" s="19">
        <v>1000000</v>
      </c>
      <c r="N27" s="63">
        <f t="shared" si="1"/>
        <v>36</v>
      </c>
      <c r="O27" s="62">
        <v>45658</v>
      </c>
      <c r="P27" s="62">
        <v>46752</v>
      </c>
      <c r="Q27" s="60"/>
      <c r="R27" s="60"/>
      <c r="S27" s="20"/>
      <c r="T27" s="59">
        <v>46007</v>
      </c>
      <c r="W27" s="20"/>
      <c r="X27" s="20"/>
      <c r="Y27" s="20"/>
      <c r="Z27" s="20"/>
      <c r="AA27" s="20"/>
      <c r="AB27" s="20"/>
      <c r="AC27" s="20"/>
      <c r="AD27" s="20"/>
      <c r="AE27" s="20"/>
      <c r="AF27" s="20"/>
    </row>
    <row r="28" spans="1:32" s="21" customFormat="1" ht="25" customHeight="1" x14ac:dyDescent="0.3">
      <c r="A28" s="16" t="s">
        <v>59</v>
      </c>
      <c r="B28" s="17" t="s">
        <v>60</v>
      </c>
      <c r="C28" s="17"/>
      <c r="D28" s="25" t="s">
        <v>50</v>
      </c>
      <c r="E28" s="17" t="s">
        <v>61</v>
      </c>
      <c r="F28" s="18" t="s">
        <v>12</v>
      </c>
      <c r="G28" s="31" t="s">
        <v>13</v>
      </c>
      <c r="H28" s="31" t="s">
        <v>13</v>
      </c>
      <c r="I28" s="31" t="s">
        <v>13</v>
      </c>
      <c r="J28" s="31" t="s">
        <v>13</v>
      </c>
      <c r="K28" s="17" t="s">
        <v>364</v>
      </c>
      <c r="L28" s="17" t="s">
        <v>14</v>
      </c>
      <c r="M28" s="19">
        <v>480000</v>
      </c>
      <c r="N28" s="63">
        <f t="shared" si="1"/>
        <v>36</v>
      </c>
      <c r="O28" s="62">
        <v>44927</v>
      </c>
      <c r="P28" s="62">
        <v>46022</v>
      </c>
      <c r="Q28" s="60"/>
      <c r="R28" s="60"/>
      <c r="S28" s="20"/>
      <c r="T28" s="59">
        <v>45944</v>
      </c>
      <c r="W28" s="17" t="s">
        <v>366</v>
      </c>
      <c r="X28" s="20" t="s">
        <v>369</v>
      </c>
      <c r="Y28" s="20" t="s">
        <v>368</v>
      </c>
      <c r="Z28" s="20"/>
      <c r="AA28" s="20"/>
      <c r="AB28" s="20"/>
      <c r="AC28" s="20"/>
      <c r="AD28" s="20"/>
      <c r="AE28" s="20"/>
      <c r="AF28" s="20"/>
    </row>
    <row r="29" spans="1:32" s="21" customFormat="1" ht="24" customHeight="1" x14ac:dyDescent="0.3">
      <c r="A29" s="16" t="s">
        <v>62</v>
      </c>
      <c r="B29" s="17" t="s">
        <v>63</v>
      </c>
      <c r="C29" s="17"/>
      <c r="D29" s="25" t="s">
        <v>50</v>
      </c>
      <c r="E29" s="17" t="s">
        <v>64</v>
      </c>
      <c r="F29" s="18" t="s">
        <v>12</v>
      </c>
      <c r="G29" s="31" t="s">
        <v>13</v>
      </c>
      <c r="H29" s="31" t="s">
        <v>13</v>
      </c>
      <c r="I29" s="31" t="s">
        <v>13</v>
      </c>
      <c r="J29" s="31" t="s">
        <v>13</v>
      </c>
      <c r="K29" s="17" t="s">
        <v>365</v>
      </c>
      <c r="L29" s="17" t="s">
        <v>14</v>
      </c>
      <c r="M29" s="11">
        <v>200000</v>
      </c>
      <c r="N29" s="63">
        <f t="shared" si="1"/>
        <v>12</v>
      </c>
      <c r="O29" s="62">
        <v>45658</v>
      </c>
      <c r="P29" s="62">
        <v>46022</v>
      </c>
      <c r="Q29" s="60"/>
      <c r="R29" s="60"/>
      <c r="S29" s="51"/>
      <c r="T29" s="59">
        <v>45944</v>
      </c>
      <c r="W29" s="20"/>
      <c r="X29" s="20"/>
      <c r="Y29" s="20"/>
      <c r="Z29" s="20"/>
      <c r="AA29" s="20"/>
      <c r="AB29" s="20"/>
      <c r="AC29" s="20"/>
      <c r="AD29" s="20"/>
      <c r="AE29" s="20"/>
      <c r="AF29" s="20"/>
    </row>
    <row r="30" spans="1:32" s="21" customFormat="1" ht="24" customHeight="1" x14ac:dyDescent="0.3">
      <c r="A30" s="16" t="s">
        <v>65</v>
      </c>
      <c r="B30" s="17" t="s">
        <v>66</v>
      </c>
      <c r="C30" s="17"/>
      <c r="D30" s="25" t="s">
        <v>50</v>
      </c>
      <c r="E30" s="17" t="s">
        <v>30</v>
      </c>
      <c r="F30" s="18" t="s">
        <v>12</v>
      </c>
      <c r="G30" s="18" t="s">
        <v>12</v>
      </c>
      <c r="H30" s="18" t="s">
        <v>12</v>
      </c>
      <c r="I30" s="18" t="s">
        <v>12</v>
      </c>
      <c r="J30" s="18" t="s">
        <v>12</v>
      </c>
      <c r="K30" s="17" t="s">
        <v>367</v>
      </c>
      <c r="L30" s="17"/>
      <c r="M30" s="11">
        <v>40000</v>
      </c>
      <c r="N30" s="63">
        <f t="shared" si="1"/>
        <v>1</v>
      </c>
      <c r="O30" s="62">
        <v>44896</v>
      </c>
      <c r="P30" s="62">
        <v>44926</v>
      </c>
      <c r="Q30" s="60"/>
      <c r="R30" s="60"/>
      <c r="S30" s="51"/>
      <c r="T30" s="59">
        <v>45944</v>
      </c>
      <c r="W30" s="20"/>
      <c r="X30" s="20"/>
      <c r="Y30" s="20"/>
      <c r="Z30" s="20"/>
      <c r="AA30" s="20"/>
      <c r="AB30" s="20"/>
      <c r="AC30" s="20"/>
      <c r="AD30" s="20"/>
      <c r="AE30" s="20"/>
      <c r="AF30" s="20"/>
    </row>
    <row r="31" spans="1:32" s="21" customFormat="1" ht="14.65" customHeight="1" x14ac:dyDescent="0.3">
      <c r="A31" s="16" t="s">
        <v>67</v>
      </c>
      <c r="B31" s="17" t="s">
        <v>370</v>
      </c>
      <c r="C31" s="17"/>
      <c r="D31" s="25" t="s">
        <v>50</v>
      </c>
      <c r="E31" s="17" t="s">
        <v>40</v>
      </c>
      <c r="F31" s="18" t="s">
        <v>12</v>
      </c>
      <c r="G31" s="18" t="s">
        <v>12</v>
      </c>
      <c r="H31" s="18" t="s">
        <v>12</v>
      </c>
      <c r="I31" s="18" t="s">
        <v>12</v>
      </c>
      <c r="J31" s="18" t="s">
        <v>12</v>
      </c>
      <c r="K31" s="17" t="s">
        <v>14</v>
      </c>
      <c r="L31" s="17" t="s">
        <v>14</v>
      </c>
      <c r="M31" s="11">
        <v>45000</v>
      </c>
      <c r="N31" s="63">
        <f t="shared" si="1"/>
        <v>1</v>
      </c>
      <c r="O31" s="62">
        <v>45078</v>
      </c>
      <c r="P31" s="62">
        <v>45107</v>
      </c>
      <c r="Q31" s="60"/>
      <c r="R31" s="60"/>
      <c r="S31" s="51"/>
      <c r="T31" s="59">
        <v>45925</v>
      </c>
      <c r="W31" s="20"/>
      <c r="X31" s="20"/>
      <c r="Y31" s="20"/>
      <c r="Z31" s="20"/>
      <c r="AA31" s="20"/>
      <c r="AB31" s="20"/>
      <c r="AC31" s="20"/>
      <c r="AD31" s="20"/>
      <c r="AE31" s="20"/>
      <c r="AF31" s="20"/>
    </row>
    <row r="32" spans="1:32" s="21" customFormat="1" ht="24" customHeight="1" x14ac:dyDescent="0.3">
      <c r="A32" s="16" t="s">
        <v>68</v>
      </c>
      <c r="B32" s="17" t="s">
        <v>69</v>
      </c>
      <c r="C32" s="17"/>
      <c r="D32" s="25" t="s">
        <v>50</v>
      </c>
      <c r="E32" s="17" t="s">
        <v>40</v>
      </c>
      <c r="F32" s="18" t="s">
        <v>12</v>
      </c>
      <c r="G32" s="18" t="s">
        <v>12</v>
      </c>
      <c r="H32" s="18" t="s">
        <v>12</v>
      </c>
      <c r="I32" s="18" t="s">
        <v>12</v>
      </c>
      <c r="J32" s="18" t="s">
        <v>12</v>
      </c>
      <c r="K32" s="17" t="s">
        <v>14</v>
      </c>
      <c r="L32" s="17" t="s">
        <v>14</v>
      </c>
      <c r="M32" s="11">
        <v>20000</v>
      </c>
      <c r="N32" s="63">
        <f t="shared" si="1"/>
        <v>1</v>
      </c>
      <c r="O32" s="62">
        <v>44933</v>
      </c>
      <c r="P32" s="62">
        <v>44935</v>
      </c>
      <c r="Q32" s="60"/>
      <c r="R32" s="60"/>
      <c r="T32" s="59">
        <v>45925</v>
      </c>
    </row>
    <row r="33" spans="1:25" s="21" customFormat="1" ht="59" customHeight="1" x14ac:dyDescent="0.3">
      <c r="A33" s="16" t="s">
        <v>70</v>
      </c>
      <c r="B33" s="17" t="s">
        <v>71</v>
      </c>
      <c r="C33" s="17"/>
      <c r="D33" s="26" t="s">
        <v>72</v>
      </c>
      <c r="E33" s="17" t="s">
        <v>73</v>
      </c>
      <c r="F33" s="18" t="s">
        <v>12</v>
      </c>
      <c r="G33" s="18" t="s">
        <v>12</v>
      </c>
      <c r="H33" s="18" t="s">
        <v>12</v>
      </c>
      <c r="I33" s="18" t="s">
        <v>12</v>
      </c>
      <c r="J33" s="18" t="s">
        <v>12</v>
      </c>
      <c r="K33" s="17" t="s">
        <v>372</v>
      </c>
      <c r="L33" s="17" t="s">
        <v>14</v>
      </c>
      <c r="M33" s="11">
        <v>26000000</v>
      </c>
      <c r="N33" s="63">
        <v>6</v>
      </c>
      <c r="O33" s="63"/>
      <c r="P33" s="63"/>
      <c r="Q33" s="60"/>
      <c r="R33" s="60"/>
      <c r="T33" s="59">
        <v>45944</v>
      </c>
    </row>
    <row r="34" spans="1:25" s="21" customFormat="1" ht="22" customHeight="1" x14ac:dyDescent="0.3">
      <c r="A34" s="16" t="s">
        <v>74</v>
      </c>
      <c r="B34" s="17" t="s">
        <v>75</v>
      </c>
      <c r="C34" s="17"/>
      <c r="D34" s="26" t="s">
        <v>72</v>
      </c>
      <c r="E34" s="17" t="s">
        <v>76</v>
      </c>
      <c r="F34" s="18" t="s">
        <v>12</v>
      </c>
      <c r="G34" s="18" t="s">
        <v>12</v>
      </c>
      <c r="H34" s="18" t="s">
        <v>12</v>
      </c>
      <c r="I34" s="18" t="s">
        <v>12</v>
      </c>
      <c r="J34" s="31" t="s">
        <v>13</v>
      </c>
      <c r="K34" s="17" t="s">
        <v>14</v>
      </c>
      <c r="L34" s="17" t="s">
        <v>14</v>
      </c>
      <c r="M34" s="11">
        <v>63000000</v>
      </c>
      <c r="N34" s="63">
        <f>IF(OR(O34="",P34=""),"",12*(YEAR(P34)-YEAR(O34))+MONTH(P34)-MONTH(O34)+1)</f>
        <v>120</v>
      </c>
      <c r="O34" s="62">
        <v>44562</v>
      </c>
      <c r="P34" s="62">
        <v>48213</v>
      </c>
      <c r="Q34" s="60"/>
      <c r="R34" s="60"/>
      <c r="S34" s="8"/>
      <c r="T34" s="59">
        <v>45944</v>
      </c>
    </row>
    <row r="35" spans="1:25" s="21" customFormat="1" ht="48" customHeight="1" x14ac:dyDescent="0.3">
      <c r="A35" s="16" t="s">
        <v>77</v>
      </c>
      <c r="B35" s="17" t="s">
        <v>78</v>
      </c>
      <c r="C35" s="17"/>
      <c r="D35" s="26" t="s">
        <v>72</v>
      </c>
      <c r="E35" s="17" t="s">
        <v>76</v>
      </c>
      <c r="F35" s="18" t="s">
        <v>12</v>
      </c>
      <c r="G35" s="18" t="s">
        <v>12</v>
      </c>
      <c r="H35" s="18" t="s">
        <v>12</v>
      </c>
      <c r="I35" s="18" t="s">
        <v>12</v>
      </c>
      <c r="J35" s="18" t="s">
        <v>12</v>
      </c>
      <c r="K35" s="17" t="s">
        <v>14</v>
      </c>
      <c r="L35" s="17" t="s">
        <v>14</v>
      </c>
      <c r="M35" s="11">
        <v>20000000</v>
      </c>
      <c r="N35" s="63"/>
      <c r="O35" s="63"/>
      <c r="P35" s="63"/>
      <c r="Q35" s="60"/>
      <c r="R35" s="60"/>
      <c r="T35" s="59">
        <v>45944</v>
      </c>
      <c r="Y35" s="11" t="s">
        <v>373</v>
      </c>
    </row>
    <row r="36" spans="1:25" s="21" customFormat="1" ht="68" customHeight="1" x14ac:dyDescent="0.3">
      <c r="A36" s="16" t="s">
        <v>79</v>
      </c>
      <c r="B36" s="17" t="s">
        <v>80</v>
      </c>
      <c r="C36" s="17"/>
      <c r="D36" s="26" t="s">
        <v>72</v>
      </c>
      <c r="E36" s="17" t="s">
        <v>19</v>
      </c>
      <c r="F36" s="18" t="s">
        <v>12</v>
      </c>
      <c r="G36" s="31" t="s">
        <v>13</v>
      </c>
      <c r="H36" s="31" t="s">
        <v>13</v>
      </c>
      <c r="I36" s="31" t="s">
        <v>13</v>
      </c>
      <c r="J36" s="31" t="s">
        <v>13</v>
      </c>
      <c r="K36" s="17" t="s">
        <v>374</v>
      </c>
      <c r="L36" s="17" t="s">
        <v>375</v>
      </c>
      <c r="M36" s="11">
        <v>1413000</v>
      </c>
      <c r="N36" s="63">
        <v>20</v>
      </c>
      <c r="O36" s="63"/>
      <c r="P36" s="63"/>
      <c r="Q36" s="60"/>
      <c r="R36" s="60"/>
      <c r="S36" s="8"/>
      <c r="T36" s="59">
        <v>45944</v>
      </c>
    </row>
    <row r="37" spans="1:25" s="21" customFormat="1" ht="48" customHeight="1" x14ac:dyDescent="0.3">
      <c r="A37" s="16" t="s">
        <v>81</v>
      </c>
      <c r="B37" s="17" t="s">
        <v>82</v>
      </c>
      <c r="C37" s="17"/>
      <c r="D37" s="26" t="s">
        <v>72</v>
      </c>
      <c r="E37" s="17" t="s">
        <v>19</v>
      </c>
      <c r="F37" s="18" t="s">
        <v>12</v>
      </c>
      <c r="G37" s="31" t="s">
        <v>13</v>
      </c>
      <c r="H37" s="31" t="s">
        <v>13</v>
      </c>
      <c r="I37" s="31" t="s">
        <v>13</v>
      </c>
      <c r="J37" s="31" t="s">
        <v>13</v>
      </c>
      <c r="K37" s="17" t="s">
        <v>376</v>
      </c>
      <c r="L37" s="17" t="s">
        <v>375</v>
      </c>
      <c r="M37" s="11">
        <v>768000</v>
      </c>
      <c r="N37" s="63">
        <v>20</v>
      </c>
      <c r="O37" s="63"/>
      <c r="P37" s="63"/>
      <c r="Q37" s="60"/>
      <c r="R37" s="60"/>
      <c r="S37" s="8"/>
      <c r="T37" s="59">
        <v>45944</v>
      </c>
    </row>
    <row r="38" spans="1:25" s="21" customFormat="1" ht="24" customHeight="1" x14ac:dyDescent="0.3">
      <c r="A38" s="16" t="s">
        <v>83</v>
      </c>
      <c r="B38" s="17" t="s">
        <v>84</v>
      </c>
      <c r="C38" s="17"/>
      <c r="D38" s="26" t="s">
        <v>72</v>
      </c>
      <c r="E38" s="17" t="s">
        <v>85</v>
      </c>
      <c r="F38" s="18" t="s">
        <v>12</v>
      </c>
      <c r="G38" s="18" t="s">
        <v>12</v>
      </c>
      <c r="H38" s="18" t="s">
        <v>12</v>
      </c>
      <c r="I38" s="18" t="s">
        <v>12</v>
      </c>
      <c r="J38" s="18" t="s">
        <v>12</v>
      </c>
      <c r="K38" s="17" t="s">
        <v>378</v>
      </c>
      <c r="L38" s="17" t="s">
        <v>14</v>
      </c>
      <c r="M38" s="11">
        <v>1360000</v>
      </c>
      <c r="N38" s="63">
        <f>IF(OR(O38="",P38=""),"",12*(YEAR(P38)-YEAR(O38))+MONTH(P38)-MONTH(O38)+1)</f>
        <v>2</v>
      </c>
      <c r="O38" s="62">
        <v>45323</v>
      </c>
      <c r="P38" s="62">
        <v>45382</v>
      </c>
      <c r="Q38" s="60"/>
      <c r="R38" s="60"/>
      <c r="T38" s="59">
        <v>45925</v>
      </c>
    </row>
    <row r="39" spans="1:25" s="21" customFormat="1" ht="36" customHeight="1" x14ac:dyDescent="0.3">
      <c r="A39" s="16" t="s">
        <v>86</v>
      </c>
      <c r="B39" s="17" t="s">
        <v>87</v>
      </c>
      <c r="C39" s="17"/>
      <c r="D39" s="26" t="s">
        <v>72</v>
      </c>
      <c r="E39" s="17" t="s">
        <v>40</v>
      </c>
      <c r="F39" s="18" t="s">
        <v>12</v>
      </c>
      <c r="G39" s="31" t="s">
        <v>13</v>
      </c>
      <c r="H39" s="31" t="s">
        <v>13</v>
      </c>
      <c r="I39" s="31" t="s">
        <v>13</v>
      </c>
      <c r="J39" s="31" t="s">
        <v>13</v>
      </c>
      <c r="K39" s="17" t="s">
        <v>377</v>
      </c>
      <c r="L39" s="17" t="s">
        <v>14</v>
      </c>
      <c r="M39" s="11">
        <v>65000</v>
      </c>
      <c r="N39" s="63">
        <f>IF(OR(O39="",P39=""),"",12*(YEAR(P39)-YEAR(O39))+MONTH(P39)-MONTH(O39)+1)</f>
        <v>12</v>
      </c>
      <c r="O39" s="62">
        <v>44927</v>
      </c>
      <c r="P39" s="62">
        <v>45291</v>
      </c>
      <c r="Q39" s="60"/>
      <c r="R39" s="60"/>
      <c r="T39" s="59">
        <v>45944</v>
      </c>
    </row>
    <row r="40" spans="1:25" s="21" customFormat="1" ht="36" customHeight="1" x14ac:dyDescent="0.3">
      <c r="A40" s="16" t="s">
        <v>88</v>
      </c>
      <c r="B40" s="17" t="s">
        <v>89</v>
      </c>
      <c r="C40" s="17"/>
      <c r="D40" s="26" t="s">
        <v>72</v>
      </c>
      <c r="E40" s="17" t="s">
        <v>40</v>
      </c>
      <c r="F40" s="18" t="s">
        <v>12</v>
      </c>
      <c r="G40" s="31" t="s">
        <v>13</v>
      </c>
      <c r="H40" s="31" t="s">
        <v>13</v>
      </c>
      <c r="I40" s="31" t="s">
        <v>13</v>
      </c>
      <c r="J40" s="31" t="s">
        <v>13</v>
      </c>
      <c r="K40" s="17" t="s">
        <v>379</v>
      </c>
      <c r="L40" s="17" t="s">
        <v>14</v>
      </c>
      <c r="M40" s="11">
        <v>65000</v>
      </c>
      <c r="N40" s="63">
        <f>IF(OR(O40="",P40=""),"",12*(YEAR(P40)-YEAR(O40))+MONTH(P40)-MONTH(O40)+1)</f>
        <v>12</v>
      </c>
      <c r="O40" s="62">
        <v>44927</v>
      </c>
      <c r="P40" s="62">
        <v>45291</v>
      </c>
      <c r="Q40" s="60"/>
      <c r="R40" s="60"/>
      <c r="T40" s="59">
        <v>45944</v>
      </c>
    </row>
    <row r="41" spans="1:25" s="21" customFormat="1" ht="36" customHeight="1" x14ac:dyDescent="0.3">
      <c r="A41" s="16" t="s">
        <v>90</v>
      </c>
      <c r="B41" s="17" t="s">
        <v>91</v>
      </c>
      <c r="C41" s="17"/>
      <c r="D41" s="26" t="s">
        <v>72</v>
      </c>
      <c r="E41" s="17" t="s">
        <v>40</v>
      </c>
      <c r="F41" s="18" t="s">
        <v>12</v>
      </c>
      <c r="G41" s="31" t="s">
        <v>13</v>
      </c>
      <c r="H41" s="31" t="s">
        <v>13</v>
      </c>
      <c r="I41" s="31" t="s">
        <v>13</v>
      </c>
      <c r="J41" s="31" t="s">
        <v>13</v>
      </c>
      <c r="K41" s="17" t="s">
        <v>377</v>
      </c>
      <c r="L41" s="17" t="s">
        <v>14</v>
      </c>
      <c r="M41" s="11">
        <v>85000</v>
      </c>
      <c r="N41" s="63">
        <f>IF(OR(O41="",P41=""),"",12*(YEAR(P41)-YEAR(O41))+MONTH(P41)-MONTH(O41)+1)</f>
        <v>12</v>
      </c>
      <c r="O41" s="62">
        <v>44927</v>
      </c>
      <c r="P41" s="62">
        <v>45291</v>
      </c>
      <c r="Q41" s="60"/>
      <c r="R41" s="60"/>
      <c r="T41" s="59">
        <v>45944</v>
      </c>
    </row>
    <row r="42" spans="1:25" s="21" customFormat="1" ht="36" customHeight="1" x14ac:dyDescent="0.3">
      <c r="A42" s="16" t="s">
        <v>92</v>
      </c>
      <c r="B42" s="17" t="s">
        <v>93</v>
      </c>
      <c r="C42" s="17"/>
      <c r="D42" s="26" t="s">
        <v>72</v>
      </c>
      <c r="E42" s="17" t="s">
        <v>24</v>
      </c>
      <c r="F42" s="18" t="s">
        <v>12</v>
      </c>
      <c r="G42" s="18" t="s">
        <v>12</v>
      </c>
      <c r="H42" s="18" t="s">
        <v>12</v>
      </c>
      <c r="I42" s="18" t="s">
        <v>12</v>
      </c>
      <c r="J42" s="31" t="s">
        <v>13</v>
      </c>
      <c r="K42" s="17" t="s">
        <v>379</v>
      </c>
      <c r="L42" s="17" t="s">
        <v>14</v>
      </c>
      <c r="M42" s="11">
        <v>70000</v>
      </c>
      <c r="N42" s="63">
        <f>IF(OR(O42="",P42=""),"",12*(YEAR(P42)-YEAR(O42))+MONTH(P42)-MONTH(O42)+1)</f>
        <v>1</v>
      </c>
      <c r="O42" s="62">
        <v>44957</v>
      </c>
      <c r="P42" s="62">
        <v>44957</v>
      </c>
      <c r="Q42" s="60"/>
      <c r="R42" s="60"/>
      <c r="T42" s="59">
        <v>45944</v>
      </c>
    </row>
    <row r="43" spans="1:25" s="21" customFormat="1" ht="24" customHeight="1" x14ac:dyDescent="0.3">
      <c r="A43" s="16" t="s">
        <v>94</v>
      </c>
      <c r="B43" s="17" t="s">
        <v>95</v>
      </c>
      <c r="C43" s="17"/>
      <c r="D43" s="27" t="s">
        <v>96</v>
      </c>
      <c r="E43" s="17" t="s">
        <v>37</v>
      </c>
      <c r="F43" s="18" t="s">
        <v>12</v>
      </c>
      <c r="G43" s="18" t="s">
        <v>12</v>
      </c>
      <c r="H43" s="18" t="s">
        <v>12</v>
      </c>
      <c r="I43" s="31" t="s">
        <v>13</v>
      </c>
      <c r="J43" s="31" t="s">
        <v>13</v>
      </c>
      <c r="K43" s="17" t="s">
        <v>14</v>
      </c>
      <c r="L43" s="17" t="s">
        <v>14</v>
      </c>
      <c r="M43" s="11">
        <v>100000</v>
      </c>
      <c r="N43" s="63">
        <v>8</v>
      </c>
      <c r="O43" s="63"/>
      <c r="P43" s="63"/>
      <c r="Q43" s="60"/>
      <c r="R43" s="60"/>
      <c r="S43" s="17"/>
      <c r="T43" s="59">
        <v>45967</v>
      </c>
      <c r="U43" s="11">
        <v>113646</v>
      </c>
      <c r="Y43" s="11" t="s">
        <v>385</v>
      </c>
    </row>
    <row r="44" spans="1:25" s="21" customFormat="1" ht="36" customHeight="1" x14ac:dyDescent="0.3">
      <c r="A44" s="16" t="s">
        <v>97</v>
      </c>
      <c r="B44" s="17" t="s">
        <v>98</v>
      </c>
      <c r="C44" s="17"/>
      <c r="D44" s="27" t="s">
        <v>96</v>
      </c>
      <c r="E44" s="17" t="s">
        <v>37</v>
      </c>
      <c r="F44" s="18" t="s">
        <v>12</v>
      </c>
      <c r="G44" s="18" t="s">
        <v>12</v>
      </c>
      <c r="H44" s="18" t="s">
        <v>12</v>
      </c>
      <c r="I44" s="18" t="s">
        <v>12</v>
      </c>
      <c r="J44" s="31" t="s">
        <v>13</v>
      </c>
      <c r="K44" s="17" t="s">
        <v>14</v>
      </c>
      <c r="L44" s="17" t="s">
        <v>14</v>
      </c>
      <c r="M44" s="11">
        <v>554000</v>
      </c>
      <c r="N44" s="63">
        <v>8</v>
      </c>
      <c r="O44" s="63"/>
      <c r="P44" s="63"/>
      <c r="Q44" s="60"/>
      <c r="R44" s="60"/>
      <c r="S44" s="17"/>
      <c r="T44" s="59">
        <v>45967</v>
      </c>
      <c r="Y44" s="11" t="s">
        <v>381</v>
      </c>
    </row>
    <row r="45" spans="1:25" s="21" customFormat="1" ht="24" customHeight="1" x14ac:dyDescent="0.3">
      <c r="A45" s="16" t="s">
        <v>99</v>
      </c>
      <c r="B45" s="17" t="s">
        <v>100</v>
      </c>
      <c r="C45" s="17"/>
      <c r="D45" s="27" t="s">
        <v>96</v>
      </c>
      <c r="E45" s="17" t="s">
        <v>37</v>
      </c>
      <c r="F45" s="18" t="s">
        <v>12</v>
      </c>
      <c r="G45" s="18" t="s">
        <v>12</v>
      </c>
      <c r="H45" s="18" t="s">
        <v>12</v>
      </c>
      <c r="I45" s="18" t="s">
        <v>12</v>
      </c>
      <c r="J45" s="18" t="s">
        <v>12</v>
      </c>
      <c r="K45" s="17" t="s">
        <v>14</v>
      </c>
      <c r="L45" s="17" t="s">
        <v>14</v>
      </c>
      <c r="M45" s="11">
        <v>16155</v>
      </c>
      <c r="N45" s="63">
        <v>8</v>
      </c>
      <c r="O45" s="63"/>
      <c r="P45" s="63"/>
      <c r="Q45" s="60"/>
      <c r="R45" s="60"/>
      <c r="S45" s="17"/>
      <c r="T45" s="59">
        <v>45925</v>
      </c>
      <c r="Y45" s="11" t="s">
        <v>386</v>
      </c>
    </row>
    <row r="46" spans="1:25" s="21" customFormat="1" ht="24" customHeight="1" x14ac:dyDescent="0.3">
      <c r="A46" s="16" t="s">
        <v>101</v>
      </c>
      <c r="B46" s="17" t="s">
        <v>102</v>
      </c>
      <c r="C46" s="17"/>
      <c r="D46" s="27" t="s">
        <v>96</v>
      </c>
      <c r="E46" s="17" t="s">
        <v>37</v>
      </c>
      <c r="F46" s="18" t="s">
        <v>12</v>
      </c>
      <c r="G46" s="18" t="s">
        <v>12</v>
      </c>
      <c r="H46" s="18" t="s">
        <v>12</v>
      </c>
      <c r="I46" s="18" t="s">
        <v>12</v>
      </c>
      <c r="J46" s="31" t="s">
        <v>13</v>
      </c>
      <c r="K46" s="17" t="s">
        <v>14</v>
      </c>
      <c r="L46" s="17" t="s">
        <v>14</v>
      </c>
      <c r="M46" s="11">
        <v>290000</v>
      </c>
      <c r="N46" s="63">
        <v>8</v>
      </c>
      <c r="O46" s="63"/>
      <c r="P46" s="63"/>
      <c r="Q46" s="60"/>
      <c r="R46" s="60"/>
      <c r="S46" s="17"/>
      <c r="T46" s="59">
        <v>45925</v>
      </c>
      <c r="Y46" s="11" t="s">
        <v>382</v>
      </c>
    </row>
    <row r="47" spans="1:25" s="21" customFormat="1" ht="14.65" customHeight="1" x14ac:dyDescent="0.3">
      <c r="A47" s="16" t="s">
        <v>103</v>
      </c>
      <c r="B47" s="17" t="s">
        <v>104</v>
      </c>
      <c r="C47" s="17"/>
      <c r="D47" s="27" t="s">
        <v>96</v>
      </c>
      <c r="E47" s="17" t="s">
        <v>37</v>
      </c>
      <c r="F47" s="18" t="s">
        <v>12</v>
      </c>
      <c r="G47" s="18" t="s">
        <v>12</v>
      </c>
      <c r="H47" s="18" t="s">
        <v>12</v>
      </c>
      <c r="I47" s="18" t="s">
        <v>12</v>
      </c>
      <c r="J47" s="31" t="s">
        <v>13</v>
      </c>
      <c r="L47" s="17" t="s">
        <v>14</v>
      </c>
      <c r="M47" s="11">
        <v>290000</v>
      </c>
      <c r="N47" s="63">
        <v>8</v>
      </c>
      <c r="O47" s="63"/>
      <c r="P47" s="63"/>
      <c r="Q47" s="60"/>
      <c r="R47" s="60"/>
      <c r="S47" s="17"/>
      <c r="T47" s="59">
        <v>45925</v>
      </c>
      <c r="Y47" s="11" t="s">
        <v>382</v>
      </c>
    </row>
    <row r="48" spans="1:25" s="21" customFormat="1" ht="24" customHeight="1" x14ac:dyDescent="0.3">
      <c r="A48" s="16" t="s">
        <v>105</v>
      </c>
      <c r="B48" s="17" t="s">
        <v>106</v>
      </c>
      <c r="C48" s="17"/>
      <c r="D48" s="27" t="s">
        <v>96</v>
      </c>
      <c r="E48" s="17" t="s">
        <v>19</v>
      </c>
      <c r="F48" s="18" t="s">
        <v>12</v>
      </c>
      <c r="G48" s="31" t="s">
        <v>13</v>
      </c>
      <c r="H48" s="31" t="s">
        <v>13</v>
      </c>
      <c r="I48" s="31" t="s">
        <v>13</v>
      </c>
      <c r="J48" s="31" t="s">
        <v>13</v>
      </c>
      <c r="K48" s="17" t="s">
        <v>383</v>
      </c>
      <c r="L48" s="17" t="s">
        <v>14</v>
      </c>
      <c r="M48" s="11">
        <v>125000</v>
      </c>
      <c r="N48" s="63">
        <f t="shared" ref="N48:N53" si="2">IF(OR(O48="",P48=""),"",12*(YEAR(P48)-YEAR(O48))+MONTH(P48)-MONTH(O48)+1)</f>
        <v>12</v>
      </c>
      <c r="O48" s="62">
        <v>44927</v>
      </c>
      <c r="P48" s="62">
        <v>45291</v>
      </c>
      <c r="Q48" s="60"/>
      <c r="R48" s="60"/>
      <c r="S48" s="52"/>
      <c r="T48" s="59">
        <v>45925</v>
      </c>
      <c r="Y48" s="11" t="s">
        <v>384</v>
      </c>
    </row>
    <row r="49" spans="1:25" s="21" customFormat="1" ht="58.5" customHeight="1" x14ac:dyDescent="0.3">
      <c r="A49" s="16" t="s">
        <v>107</v>
      </c>
      <c r="B49" s="17" t="s">
        <v>108</v>
      </c>
      <c r="C49" s="17"/>
      <c r="D49" s="27" t="s">
        <v>96</v>
      </c>
      <c r="E49" s="17" t="s">
        <v>19</v>
      </c>
      <c r="F49" s="18" t="s">
        <v>12</v>
      </c>
      <c r="G49" s="31" t="s">
        <v>13</v>
      </c>
      <c r="H49" s="31" t="s">
        <v>13</v>
      </c>
      <c r="I49" s="31" t="s">
        <v>13</v>
      </c>
      <c r="J49" s="31" t="s">
        <v>13</v>
      </c>
      <c r="K49" s="17" t="s">
        <v>387</v>
      </c>
      <c r="L49" s="17" t="s">
        <v>14</v>
      </c>
      <c r="M49" s="11">
        <v>300000</v>
      </c>
      <c r="N49" s="63">
        <f t="shared" si="2"/>
        <v>24</v>
      </c>
      <c r="O49" s="62">
        <v>44927</v>
      </c>
      <c r="P49" s="62">
        <v>45657</v>
      </c>
      <c r="Q49" s="60"/>
      <c r="R49" s="60"/>
      <c r="S49" s="17"/>
      <c r="T49" s="59">
        <v>45925</v>
      </c>
    </row>
    <row r="50" spans="1:25" s="21" customFormat="1" ht="24" customHeight="1" x14ac:dyDescent="0.3">
      <c r="A50" s="16" t="s">
        <v>109</v>
      </c>
      <c r="B50" s="17" t="s">
        <v>110</v>
      </c>
      <c r="C50" s="17"/>
      <c r="D50" s="27" t="s">
        <v>96</v>
      </c>
      <c r="E50" s="17" t="s">
        <v>40</v>
      </c>
      <c r="F50" s="18" t="s">
        <v>12</v>
      </c>
      <c r="G50" s="18" t="s">
        <v>12</v>
      </c>
      <c r="H50" s="18" t="s">
        <v>12</v>
      </c>
      <c r="I50" s="18" t="s">
        <v>12</v>
      </c>
      <c r="J50" s="18" t="s">
        <v>12</v>
      </c>
      <c r="K50" s="17" t="s">
        <v>388</v>
      </c>
      <c r="L50" s="17" t="s">
        <v>388</v>
      </c>
      <c r="M50" s="11">
        <v>20000</v>
      </c>
      <c r="N50" s="63">
        <f t="shared" si="2"/>
        <v>5</v>
      </c>
      <c r="O50" s="62">
        <v>44866</v>
      </c>
      <c r="P50" s="62">
        <v>45016</v>
      </c>
      <c r="Q50" s="60"/>
      <c r="R50" s="60"/>
      <c r="S50" s="17"/>
      <c r="T50" s="59">
        <v>45925</v>
      </c>
      <c r="Y50" s="11" t="s">
        <v>389</v>
      </c>
    </row>
    <row r="51" spans="1:25" s="21" customFormat="1" ht="24" customHeight="1" x14ac:dyDescent="0.3">
      <c r="A51" s="50" t="s">
        <v>111</v>
      </c>
      <c r="B51" s="17" t="s">
        <v>112</v>
      </c>
      <c r="C51" s="17"/>
      <c r="D51" s="27" t="s">
        <v>96</v>
      </c>
      <c r="E51" s="17" t="s">
        <v>21</v>
      </c>
      <c r="F51" s="18" t="s">
        <v>12</v>
      </c>
      <c r="G51" s="18" t="s">
        <v>12</v>
      </c>
      <c r="H51" s="31" t="s">
        <v>13</v>
      </c>
      <c r="I51" s="31" t="s">
        <v>13</v>
      </c>
      <c r="J51" s="31" t="s">
        <v>13</v>
      </c>
      <c r="K51" s="17" t="s">
        <v>390</v>
      </c>
      <c r="L51" s="17" t="s">
        <v>14</v>
      </c>
      <c r="M51" s="11">
        <v>1000000</v>
      </c>
      <c r="N51" s="63">
        <f t="shared" si="2"/>
        <v>36</v>
      </c>
      <c r="O51" s="62">
        <v>45658</v>
      </c>
      <c r="P51" s="62">
        <v>46752</v>
      </c>
      <c r="Q51" s="60"/>
      <c r="R51" s="60"/>
      <c r="S51" s="17"/>
      <c r="T51" s="59">
        <v>46007</v>
      </c>
    </row>
    <row r="52" spans="1:25" s="21" customFormat="1" ht="24" customHeight="1" x14ac:dyDescent="0.3">
      <c r="A52" s="50" t="s">
        <v>113</v>
      </c>
      <c r="B52" s="17" t="s">
        <v>114</v>
      </c>
      <c r="C52" s="17"/>
      <c r="D52" s="27" t="s">
        <v>96</v>
      </c>
      <c r="E52" s="17" t="s">
        <v>21</v>
      </c>
      <c r="F52" s="18" t="s">
        <v>12</v>
      </c>
      <c r="G52" s="18" t="s">
        <v>12</v>
      </c>
      <c r="H52" s="31" t="s">
        <v>13</v>
      </c>
      <c r="I52" s="31" t="s">
        <v>13</v>
      </c>
      <c r="J52" s="31" t="s">
        <v>13</v>
      </c>
      <c r="K52" s="17" t="s">
        <v>390</v>
      </c>
      <c r="L52" s="17" t="s">
        <v>14</v>
      </c>
      <c r="M52" s="11">
        <v>700000</v>
      </c>
      <c r="N52" s="63">
        <f t="shared" si="2"/>
        <v>36</v>
      </c>
      <c r="O52" s="62">
        <v>45658</v>
      </c>
      <c r="P52" s="62">
        <v>46752</v>
      </c>
      <c r="Q52" s="60"/>
      <c r="R52" s="60"/>
      <c r="S52" s="17"/>
      <c r="T52" s="59">
        <v>46007</v>
      </c>
    </row>
    <row r="53" spans="1:25" s="21" customFormat="1" ht="24" customHeight="1" x14ac:dyDescent="0.3">
      <c r="A53" s="50" t="s">
        <v>115</v>
      </c>
      <c r="B53" s="17" t="s">
        <v>116</v>
      </c>
      <c r="C53" s="17"/>
      <c r="D53" s="27" t="s">
        <v>96</v>
      </c>
      <c r="E53" s="17" t="s">
        <v>21</v>
      </c>
      <c r="F53" s="18" t="s">
        <v>12</v>
      </c>
      <c r="G53" s="18" t="s">
        <v>12</v>
      </c>
      <c r="H53" s="31" t="s">
        <v>13</v>
      </c>
      <c r="I53" s="31" t="s">
        <v>13</v>
      </c>
      <c r="J53" s="31" t="s">
        <v>13</v>
      </c>
      <c r="K53" s="17" t="s">
        <v>390</v>
      </c>
      <c r="L53" s="17" t="s">
        <v>14</v>
      </c>
      <c r="M53" s="11">
        <v>300000</v>
      </c>
      <c r="N53" s="63">
        <f t="shared" si="2"/>
        <v>36</v>
      </c>
      <c r="O53" s="62">
        <v>45658</v>
      </c>
      <c r="P53" s="62">
        <v>46752</v>
      </c>
      <c r="Q53" s="60"/>
      <c r="R53" s="60"/>
      <c r="S53" s="17"/>
      <c r="T53" s="59">
        <v>46007</v>
      </c>
    </row>
    <row r="54" spans="1:25" s="21" customFormat="1" ht="48" customHeight="1" x14ac:dyDescent="0.3">
      <c r="A54" s="16" t="s">
        <v>117</v>
      </c>
      <c r="B54" s="17" t="s">
        <v>396</v>
      </c>
      <c r="C54" s="17"/>
      <c r="D54" s="28" t="s">
        <v>118</v>
      </c>
      <c r="E54" s="17" t="s">
        <v>19</v>
      </c>
      <c r="F54" s="18" t="s">
        <v>12</v>
      </c>
      <c r="G54" s="31" t="s">
        <v>13</v>
      </c>
      <c r="H54" s="31" t="s">
        <v>13</v>
      </c>
      <c r="I54" s="31" t="s">
        <v>13</v>
      </c>
      <c r="J54" s="31" t="s">
        <v>13</v>
      </c>
      <c r="K54" s="17" t="s">
        <v>398</v>
      </c>
      <c r="L54" s="17" t="s">
        <v>14</v>
      </c>
      <c r="M54" s="11">
        <v>500000</v>
      </c>
      <c r="N54" s="63">
        <v>6</v>
      </c>
      <c r="O54" s="63"/>
      <c r="P54" s="63"/>
      <c r="Q54" s="60"/>
      <c r="R54" s="60"/>
      <c r="S54" s="17"/>
      <c r="T54" s="59">
        <v>45944</v>
      </c>
      <c r="Y54" s="20" t="s">
        <v>439</v>
      </c>
    </row>
    <row r="55" spans="1:25" s="21" customFormat="1" ht="14.65" customHeight="1" x14ac:dyDescent="0.3">
      <c r="A55" s="16" t="s">
        <v>119</v>
      </c>
      <c r="B55" s="17" t="s">
        <v>391</v>
      </c>
      <c r="C55" s="17"/>
      <c r="D55" s="28" t="s">
        <v>118</v>
      </c>
      <c r="E55" s="17" t="s">
        <v>19</v>
      </c>
      <c r="F55" s="18" t="s">
        <v>12</v>
      </c>
      <c r="G55" s="31" t="s">
        <v>13</v>
      </c>
      <c r="H55" s="31" t="s">
        <v>13</v>
      </c>
      <c r="I55" s="31" t="s">
        <v>13</v>
      </c>
      <c r="J55" s="31" t="s">
        <v>13</v>
      </c>
      <c r="K55" s="17" t="s">
        <v>383</v>
      </c>
      <c r="L55" s="17" t="s">
        <v>14</v>
      </c>
      <c r="M55" s="11">
        <v>665000</v>
      </c>
      <c r="N55" s="63">
        <f>IF(OR(O55="",P55=""),"",12*(YEAR(P55)-YEAR(O55))+MONTH(P55)-MONTH(O55)+1)</f>
        <v>36</v>
      </c>
      <c r="O55" s="62">
        <v>44927</v>
      </c>
      <c r="P55" s="62">
        <v>46022</v>
      </c>
      <c r="Q55" s="60"/>
      <c r="R55" s="60"/>
      <c r="S55" s="17"/>
      <c r="T55" s="59">
        <v>45944</v>
      </c>
    </row>
    <row r="56" spans="1:25" s="21" customFormat="1" ht="24.5" customHeight="1" x14ac:dyDescent="0.3">
      <c r="A56" s="16" t="s">
        <v>120</v>
      </c>
      <c r="B56" s="17" t="s">
        <v>392</v>
      </c>
      <c r="C56" s="17"/>
      <c r="D56" s="28" t="s">
        <v>118</v>
      </c>
      <c r="E56" s="17" t="s">
        <v>40</v>
      </c>
      <c r="F56" s="18" t="s">
        <v>12</v>
      </c>
      <c r="G56" s="18" t="s">
        <v>12</v>
      </c>
      <c r="H56" s="18" t="s">
        <v>12</v>
      </c>
      <c r="I56" s="18" t="s">
        <v>12</v>
      </c>
      <c r="J56" s="18" t="s">
        <v>12</v>
      </c>
      <c r="K56" s="17" t="s">
        <v>399</v>
      </c>
      <c r="L56" s="17" t="s">
        <v>399</v>
      </c>
      <c r="M56" s="53" t="s">
        <v>371</v>
      </c>
      <c r="N56" s="63"/>
      <c r="O56" s="63"/>
      <c r="P56" s="63"/>
      <c r="Q56" s="60"/>
      <c r="R56" s="60"/>
      <c r="S56" s="17"/>
      <c r="T56" s="59">
        <v>45925</v>
      </c>
    </row>
    <row r="57" spans="1:25" s="21" customFormat="1" ht="24" customHeight="1" x14ac:dyDescent="0.3">
      <c r="A57" s="50" t="s">
        <v>121</v>
      </c>
      <c r="B57" s="17" t="s">
        <v>393</v>
      </c>
      <c r="C57" s="17"/>
      <c r="D57" s="28" t="s">
        <v>118</v>
      </c>
      <c r="E57" s="17" t="s">
        <v>21</v>
      </c>
      <c r="F57" s="18" t="s">
        <v>12</v>
      </c>
      <c r="G57" s="18" t="s">
        <v>12</v>
      </c>
      <c r="H57" s="31" t="s">
        <v>13</v>
      </c>
      <c r="I57" s="31" t="s">
        <v>13</v>
      </c>
      <c r="J57" s="31" t="s">
        <v>13</v>
      </c>
      <c r="K57" s="17" t="s">
        <v>402</v>
      </c>
      <c r="L57" s="17" t="s">
        <v>388</v>
      </c>
      <c r="M57" s="11">
        <v>2500000</v>
      </c>
      <c r="N57" s="63">
        <f t="shared" ref="N57:N65" si="3">IF(OR(O57="",P57=""),"",12*(YEAR(P57)-YEAR(O57))+MONTH(P57)-MONTH(O57)+1)</f>
        <v>36</v>
      </c>
      <c r="O57" s="62">
        <v>45658</v>
      </c>
      <c r="P57" s="62">
        <v>46752</v>
      </c>
      <c r="Q57" s="60"/>
      <c r="R57" s="60"/>
      <c r="S57" s="17"/>
      <c r="T57" s="59">
        <v>46007</v>
      </c>
      <c r="W57" s="17" t="s">
        <v>400</v>
      </c>
    </row>
    <row r="58" spans="1:25" s="21" customFormat="1" ht="24" customHeight="1" x14ac:dyDescent="0.3">
      <c r="A58" s="50" t="s">
        <v>122</v>
      </c>
      <c r="B58" s="17" t="s">
        <v>394</v>
      </c>
      <c r="C58" s="17"/>
      <c r="D58" s="28" t="s">
        <v>118</v>
      </c>
      <c r="E58" s="17" t="s">
        <v>21</v>
      </c>
      <c r="F58" s="18" t="s">
        <v>12</v>
      </c>
      <c r="G58" s="18" t="s">
        <v>12</v>
      </c>
      <c r="H58" s="31" t="s">
        <v>13</v>
      </c>
      <c r="I58" s="31" t="s">
        <v>13</v>
      </c>
      <c r="J58" s="31" t="s">
        <v>13</v>
      </c>
      <c r="K58" s="17" t="s">
        <v>402</v>
      </c>
      <c r="L58" s="17" t="s">
        <v>388</v>
      </c>
      <c r="M58" s="11">
        <v>2500000</v>
      </c>
      <c r="N58" s="63">
        <f t="shared" si="3"/>
        <v>36</v>
      </c>
      <c r="O58" s="62">
        <v>45658</v>
      </c>
      <c r="P58" s="62">
        <v>46752</v>
      </c>
      <c r="Q58" s="60"/>
      <c r="R58" s="60"/>
      <c r="S58" s="17"/>
      <c r="T58" s="59">
        <v>46007</v>
      </c>
      <c r="W58" s="17" t="s">
        <v>401</v>
      </c>
    </row>
    <row r="59" spans="1:25" s="21" customFormat="1" ht="14.65" customHeight="1" x14ac:dyDescent="0.3">
      <c r="A59" s="16" t="s">
        <v>123</v>
      </c>
      <c r="B59" s="17" t="s">
        <v>124</v>
      </c>
      <c r="C59" s="17"/>
      <c r="D59" s="28" t="s">
        <v>118</v>
      </c>
      <c r="E59" s="17" t="s">
        <v>125</v>
      </c>
      <c r="F59" s="18" t="s">
        <v>12</v>
      </c>
      <c r="G59" s="18" t="s">
        <v>12</v>
      </c>
      <c r="H59" s="18" t="s">
        <v>12</v>
      </c>
      <c r="I59" s="31" t="s">
        <v>13</v>
      </c>
      <c r="J59" s="31" t="s">
        <v>13</v>
      </c>
      <c r="K59" s="17" t="s">
        <v>390</v>
      </c>
      <c r="L59" s="17" t="s">
        <v>14</v>
      </c>
      <c r="M59" s="11">
        <v>228000</v>
      </c>
      <c r="N59" s="63">
        <f t="shared" si="3"/>
        <v>12</v>
      </c>
      <c r="O59" s="62">
        <v>44927</v>
      </c>
      <c r="P59" s="62">
        <v>45291</v>
      </c>
      <c r="Q59" s="60"/>
      <c r="R59" s="60"/>
      <c r="S59" s="17"/>
      <c r="T59" s="59">
        <v>45925</v>
      </c>
      <c r="W59" s="17"/>
    </row>
    <row r="60" spans="1:25" s="21" customFormat="1" ht="24" customHeight="1" x14ac:dyDescent="0.3">
      <c r="A60" s="16" t="s">
        <v>126</v>
      </c>
      <c r="B60" s="17" t="s">
        <v>395</v>
      </c>
      <c r="C60" s="17"/>
      <c r="D60" s="28" t="s">
        <v>118</v>
      </c>
      <c r="E60" s="17" t="s">
        <v>73</v>
      </c>
      <c r="F60" s="18" t="s">
        <v>12</v>
      </c>
      <c r="G60" s="31" t="s">
        <v>13</v>
      </c>
      <c r="H60" s="31" t="s">
        <v>13</v>
      </c>
      <c r="I60" s="31" t="s">
        <v>13</v>
      </c>
      <c r="J60" s="31" t="s">
        <v>13</v>
      </c>
      <c r="K60" s="17" t="s">
        <v>383</v>
      </c>
      <c r="L60" s="17" t="s">
        <v>14</v>
      </c>
      <c r="M60" s="11">
        <v>400000</v>
      </c>
      <c r="N60" s="63">
        <f t="shared" si="3"/>
        <v>48</v>
      </c>
      <c r="O60" s="62">
        <v>44927</v>
      </c>
      <c r="P60" s="62">
        <v>46387</v>
      </c>
      <c r="Q60" s="60"/>
      <c r="R60" s="60"/>
      <c r="T60" s="59">
        <v>45925</v>
      </c>
      <c r="W60" s="17" t="s">
        <v>403</v>
      </c>
    </row>
    <row r="61" spans="1:25" s="21" customFormat="1" ht="43" customHeight="1" thickBot="1" x14ac:dyDescent="0.35">
      <c r="A61" s="16" t="s">
        <v>127</v>
      </c>
      <c r="B61" s="17" t="s">
        <v>397</v>
      </c>
      <c r="C61" s="17"/>
      <c r="D61" s="28" t="s">
        <v>118</v>
      </c>
      <c r="E61" s="17" t="s">
        <v>19</v>
      </c>
      <c r="F61" s="18" t="s">
        <v>12</v>
      </c>
      <c r="G61" s="18" t="s">
        <v>12</v>
      </c>
      <c r="H61" s="18" t="s">
        <v>12</v>
      </c>
      <c r="I61" s="18" t="s">
        <v>12</v>
      </c>
      <c r="J61" s="31" t="s">
        <v>13</v>
      </c>
      <c r="K61" s="17" t="s">
        <v>377</v>
      </c>
      <c r="L61" s="17" t="s">
        <v>404</v>
      </c>
      <c r="M61" s="11">
        <v>70000</v>
      </c>
      <c r="N61" s="63">
        <f t="shared" si="3"/>
        <v>60</v>
      </c>
      <c r="O61" s="62">
        <v>44927</v>
      </c>
      <c r="P61" s="62">
        <v>46752</v>
      </c>
      <c r="Q61" s="60"/>
      <c r="R61" s="60"/>
      <c r="S61" s="17"/>
      <c r="T61" s="59">
        <v>45944</v>
      </c>
      <c r="W61" s="17" t="s">
        <v>405</v>
      </c>
      <c r="X61" s="17" t="s">
        <v>406</v>
      </c>
      <c r="Y61" s="11" t="s">
        <v>409</v>
      </c>
    </row>
    <row r="62" spans="1:25" s="21" customFormat="1" ht="49.5" customHeight="1" thickBot="1" x14ac:dyDescent="0.35">
      <c r="A62" s="55" t="s">
        <v>128</v>
      </c>
      <c r="B62" s="17" t="s">
        <v>129</v>
      </c>
      <c r="C62" s="17"/>
      <c r="D62" s="29" t="s">
        <v>130</v>
      </c>
      <c r="E62" s="17" t="s">
        <v>21</v>
      </c>
      <c r="F62" s="18" t="s">
        <v>12</v>
      </c>
      <c r="G62" s="31" t="s">
        <v>13</v>
      </c>
      <c r="H62" s="31" t="s">
        <v>13</v>
      </c>
      <c r="I62" s="31" t="s">
        <v>13</v>
      </c>
      <c r="J62" s="31" t="s">
        <v>13</v>
      </c>
      <c r="K62" s="17" t="s">
        <v>407</v>
      </c>
      <c r="M62" s="54">
        <v>100000</v>
      </c>
      <c r="N62" s="63">
        <f t="shared" si="3"/>
        <v>48</v>
      </c>
      <c r="O62" s="62">
        <v>45292</v>
      </c>
      <c r="P62" s="62">
        <v>46752</v>
      </c>
      <c r="Q62" s="60"/>
      <c r="R62" s="60"/>
      <c r="S62" s="17"/>
      <c r="T62" s="59">
        <v>45961</v>
      </c>
      <c r="W62" s="17" t="s">
        <v>408</v>
      </c>
    </row>
    <row r="63" spans="1:25" s="21" customFormat="1" ht="24" customHeight="1" x14ac:dyDescent="0.3">
      <c r="A63" s="50" t="s">
        <v>131</v>
      </c>
      <c r="B63" s="17" t="s">
        <v>132</v>
      </c>
      <c r="C63" s="17"/>
      <c r="D63" s="29" t="s">
        <v>130</v>
      </c>
      <c r="E63" s="17" t="s">
        <v>21</v>
      </c>
      <c r="F63" s="18" t="s">
        <v>12</v>
      </c>
      <c r="G63" s="18" t="s">
        <v>12</v>
      </c>
      <c r="H63" s="31" t="s">
        <v>13</v>
      </c>
      <c r="I63" s="31" t="s">
        <v>13</v>
      </c>
      <c r="J63" s="31" t="s">
        <v>13</v>
      </c>
      <c r="K63" s="17" t="s">
        <v>377</v>
      </c>
      <c r="L63" s="17" t="s">
        <v>14</v>
      </c>
      <c r="M63" s="11">
        <v>2000000</v>
      </c>
      <c r="N63" s="63">
        <f t="shared" si="3"/>
        <v>36</v>
      </c>
      <c r="O63" s="62">
        <v>45658</v>
      </c>
      <c r="P63" s="62">
        <v>46752</v>
      </c>
      <c r="Q63" s="60"/>
      <c r="R63" s="60"/>
      <c r="S63" s="17"/>
      <c r="T63" s="59">
        <v>46007</v>
      </c>
    </row>
    <row r="64" spans="1:25" s="21" customFormat="1" ht="30" customHeight="1" x14ac:dyDescent="0.3">
      <c r="A64" s="16" t="s">
        <v>133</v>
      </c>
      <c r="B64" s="17" t="s">
        <v>134</v>
      </c>
      <c r="C64" s="17"/>
      <c r="D64" s="29" t="s">
        <v>130</v>
      </c>
      <c r="E64" s="17" t="s">
        <v>24</v>
      </c>
      <c r="F64" s="18" t="s">
        <v>12</v>
      </c>
      <c r="G64" s="18" t="s">
        <v>12</v>
      </c>
      <c r="H64" s="18" t="s">
        <v>12</v>
      </c>
      <c r="I64" s="18" t="s">
        <v>12</v>
      </c>
      <c r="J64" s="31" t="s">
        <v>13</v>
      </c>
      <c r="K64" s="17" t="s">
        <v>410</v>
      </c>
      <c r="L64" s="17" t="s">
        <v>14</v>
      </c>
      <c r="M64" s="11">
        <v>637740</v>
      </c>
      <c r="N64" s="63">
        <f t="shared" si="3"/>
        <v>1</v>
      </c>
      <c r="O64" s="62">
        <v>44593</v>
      </c>
      <c r="P64" s="62">
        <v>44620</v>
      </c>
      <c r="Q64" s="60"/>
      <c r="R64" s="60"/>
      <c r="S64" s="17"/>
      <c r="T64" s="59">
        <v>45925</v>
      </c>
    </row>
    <row r="65" spans="1:25" s="21" customFormat="1" ht="33" customHeight="1" x14ac:dyDescent="0.3">
      <c r="A65" s="16" t="s">
        <v>135</v>
      </c>
      <c r="B65" s="17" t="s">
        <v>136</v>
      </c>
      <c r="C65" s="17"/>
      <c r="D65" s="29" t="s">
        <v>130</v>
      </c>
      <c r="E65" s="17" t="s">
        <v>19</v>
      </c>
      <c r="F65" s="18" t="s">
        <v>12</v>
      </c>
      <c r="G65" s="31" t="s">
        <v>13</v>
      </c>
      <c r="H65" s="31" t="s">
        <v>13</v>
      </c>
      <c r="I65" s="31" t="s">
        <v>13</v>
      </c>
      <c r="J65" s="31" t="s">
        <v>13</v>
      </c>
      <c r="K65" s="17" t="s">
        <v>411</v>
      </c>
      <c r="L65" s="17" t="s">
        <v>14</v>
      </c>
      <c r="M65" s="11">
        <v>40000</v>
      </c>
      <c r="N65" s="63">
        <f t="shared" si="3"/>
        <v>48</v>
      </c>
      <c r="O65" s="62">
        <v>45292</v>
      </c>
      <c r="P65" s="62">
        <v>46752</v>
      </c>
      <c r="Q65" s="60"/>
      <c r="R65" s="60"/>
      <c r="S65" s="17"/>
      <c r="T65" s="59">
        <v>45944</v>
      </c>
      <c r="W65" s="17"/>
      <c r="X65" s="17" t="s">
        <v>406</v>
      </c>
      <c r="Y65" s="11" t="s">
        <v>412</v>
      </c>
    </row>
    <row r="66" spans="1:25" s="21" customFormat="1" ht="26.5" customHeight="1" x14ac:dyDescent="0.3">
      <c r="A66" s="16" t="s">
        <v>137</v>
      </c>
      <c r="B66" s="17" t="s">
        <v>138</v>
      </c>
      <c r="C66" s="17"/>
      <c r="D66" s="29" t="s">
        <v>130</v>
      </c>
      <c r="E66" s="17" t="s">
        <v>37</v>
      </c>
      <c r="F66" s="18" t="s">
        <v>12</v>
      </c>
      <c r="G66" s="18" t="s">
        <v>12</v>
      </c>
      <c r="H66" s="18" t="s">
        <v>12</v>
      </c>
      <c r="I66" s="18" t="s">
        <v>12</v>
      </c>
      <c r="J66" s="31" t="s">
        <v>13</v>
      </c>
      <c r="K66" s="17" t="s">
        <v>413</v>
      </c>
      <c r="L66" s="17" t="s">
        <v>14</v>
      </c>
      <c r="M66" s="11">
        <v>216000</v>
      </c>
      <c r="N66" s="63"/>
      <c r="O66" s="63"/>
      <c r="P66" s="63"/>
      <c r="Q66" s="59">
        <v>44835</v>
      </c>
      <c r="R66" s="60"/>
      <c r="S66" s="56"/>
      <c r="T66" s="59">
        <v>45967</v>
      </c>
      <c r="W66" s="17" t="s">
        <v>416</v>
      </c>
      <c r="X66" s="17" t="s">
        <v>415</v>
      </c>
      <c r="Y66" s="11" t="s">
        <v>414</v>
      </c>
    </row>
    <row r="67" spans="1:25" s="21" customFormat="1" ht="31.5" customHeight="1" x14ac:dyDescent="0.3">
      <c r="A67" s="16" t="s">
        <v>139</v>
      </c>
      <c r="B67" s="17" t="s">
        <v>140</v>
      </c>
      <c r="C67" s="17"/>
      <c r="D67" s="29" t="s">
        <v>130</v>
      </c>
      <c r="E67" s="17" t="s">
        <v>141</v>
      </c>
      <c r="F67" s="18" t="s">
        <v>12</v>
      </c>
      <c r="G67" s="18" t="s">
        <v>12</v>
      </c>
      <c r="H67" s="18" t="s">
        <v>12</v>
      </c>
      <c r="I67" s="18" t="s">
        <v>12</v>
      </c>
      <c r="J67" s="31" t="s">
        <v>13</v>
      </c>
      <c r="K67" s="17" t="s">
        <v>383</v>
      </c>
      <c r="L67" s="17" t="s">
        <v>14</v>
      </c>
      <c r="M67" s="11">
        <v>1650000</v>
      </c>
      <c r="N67" s="63">
        <f t="shared" ref="N67:N78" si="4">IF(OR(O67="",P67=""),"",12*(YEAR(P67)-YEAR(O67))+MONTH(P67)-MONTH(O67)+1)</f>
        <v>24</v>
      </c>
      <c r="O67" s="62">
        <v>44927</v>
      </c>
      <c r="P67" s="62">
        <v>45657</v>
      </c>
      <c r="Q67" s="60"/>
      <c r="R67" s="60"/>
      <c r="S67" s="56"/>
      <c r="T67" s="59">
        <v>45925</v>
      </c>
      <c r="W67" s="17" t="s">
        <v>419</v>
      </c>
      <c r="X67" s="17" t="s">
        <v>417</v>
      </c>
      <c r="Y67" s="11" t="s">
        <v>418</v>
      </c>
    </row>
    <row r="68" spans="1:25" s="21" customFormat="1" ht="24" customHeight="1" x14ac:dyDescent="0.3">
      <c r="A68" s="16" t="s">
        <v>142</v>
      </c>
      <c r="B68" s="17" t="s">
        <v>143</v>
      </c>
      <c r="C68" s="17"/>
      <c r="D68" s="29" t="s">
        <v>130</v>
      </c>
      <c r="E68" s="17" t="s">
        <v>40</v>
      </c>
      <c r="F68" s="18" t="s">
        <v>12</v>
      </c>
      <c r="G68" s="18" t="s">
        <v>12</v>
      </c>
      <c r="H68" s="18" t="s">
        <v>12</v>
      </c>
      <c r="I68" s="18" t="s">
        <v>12</v>
      </c>
      <c r="J68" s="31" t="s">
        <v>13</v>
      </c>
      <c r="K68" s="17" t="s">
        <v>14</v>
      </c>
      <c r="L68" s="17" t="s">
        <v>14</v>
      </c>
      <c r="M68" s="11">
        <v>700000</v>
      </c>
      <c r="N68" s="63">
        <f t="shared" si="4"/>
        <v>24</v>
      </c>
      <c r="O68" s="62">
        <v>44562</v>
      </c>
      <c r="P68" s="62">
        <v>45291</v>
      </c>
      <c r="Q68" s="60"/>
      <c r="R68" s="60"/>
      <c r="S68" s="56"/>
      <c r="T68" s="59">
        <v>45925</v>
      </c>
      <c r="Y68" s="11" t="s">
        <v>420</v>
      </c>
    </row>
    <row r="69" spans="1:25" s="21" customFormat="1" ht="35.5" customHeight="1" x14ac:dyDescent="0.3">
      <c r="A69" s="16" t="s">
        <v>144</v>
      </c>
      <c r="B69" s="17" t="s">
        <v>145</v>
      </c>
      <c r="C69" s="17"/>
      <c r="D69" s="29" t="s">
        <v>130</v>
      </c>
      <c r="E69" s="17" t="s">
        <v>19</v>
      </c>
      <c r="F69" s="18" t="s">
        <v>12</v>
      </c>
      <c r="G69" s="31" t="s">
        <v>13</v>
      </c>
      <c r="H69" s="31" t="s">
        <v>13</v>
      </c>
      <c r="I69" s="31" t="s">
        <v>13</v>
      </c>
      <c r="J69" s="31" t="s">
        <v>13</v>
      </c>
      <c r="K69" s="17" t="s">
        <v>14</v>
      </c>
      <c r="L69" s="17" t="s">
        <v>14</v>
      </c>
      <c r="M69" s="11">
        <v>30000</v>
      </c>
      <c r="N69" s="63">
        <f t="shared" si="4"/>
        <v>13</v>
      </c>
      <c r="O69" s="62">
        <v>44896</v>
      </c>
      <c r="P69" s="62">
        <v>45291</v>
      </c>
      <c r="Q69" s="60"/>
      <c r="R69" s="60"/>
      <c r="S69" s="17"/>
      <c r="T69" s="59">
        <v>45944</v>
      </c>
      <c r="W69" s="17" t="s">
        <v>422</v>
      </c>
      <c r="Y69" s="11" t="s">
        <v>421</v>
      </c>
    </row>
    <row r="70" spans="1:25" s="21" customFormat="1" ht="36" customHeight="1" x14ac:dyDescent="0.3">
      <c r="A70" s="16" t="s">
        <v>146</v>
      </c>
      <c r="B70" s="17" t="s">
        <v>147</v>
      </c>
      <c r="C70" s="17"/>
      <c r="D70" s="29" t="s">
        <v>130</v>
      </c>
      <c r="E70" s="17" t="s">
        <v>425</v>
      </c>
      <c r="F70" s="18" t="s">
        <v>12</v>
      </c>
      <c r="G70" s="18" t="s">
        <v>12</v>
      </c>
      <c r="H70" s="18" t="s">
        <v>12</v>
      </c>
      <c r="I70" s="18" t="s">
        <v>12</v>
      </c>
      <c r="J70" s="18" t="s">
        <v>12</v>
      </c>
      <c r="K70" s="17" t="s">
        <v>424</v>
      </c>
      <c r="L70" s="17" t="s">
        <v>14</v>
      </c>
      <c r="M70" s="11">
        <v>260000</v>
      </c>
      <c r="N70" s="63">
        <f t="shared" si="4"/>
        <v>32</v>
      </c>
      <c r="O70" s="62">
        <v>44986</v>
      </c>
      <c r="P70" s="62">
        <v>45961</v>
      </c>
      <c r="Q70" s="60"/>
      <c r="R70" s="59">
        <v>46022</v>
      </c>
      <c r="S70" s="56"/>
      <c r="T70" s="59">
        <v>45944</v>
      </c>
      <c r="Y70" s="11" t="s">
        <v>423</v>
      </c>
    </row>
    <row r="71" spans="1:25" s="21" customFormat="1" ht="26.5" customHeight="1" x14ac:dyDescent="0.3">
      <c r="A71" s="16" t="s">
        <v>148</v>
      </c>
      <c r="B71" s="17" t="s">
        <v>432</v>
      </c>
      <c r="C71" s="17"/>
      <c r="D71" s="29" t="s">
        <v>130</v>
      </c>
      <c r="E71" s="17" t="s">
        <v>425</v>
      </c>
      <c r="F71" s="18" t="s">
        <v>12</v>
      </c>
      <c r="G71" s="18" t="s">
        <v>12</v>
      </c>
      <c r="H71" s="18" t="s">
        <v>12</v>
      </c>
      <c r="I71" s="18" t="s">
        <v>12</v>
      </c>
      <c r="J71" s="18" t="s">
        <v>12</v>
      </c>
      <c r="K71" s="17" t="s">
        <v>426</v>
      </c>
      <c r="L71" s="17" t="s">
        <v>14</v>
      </c>
      <c r="M71" s="11">
        <v>300000</v>
      </c>
      <c r="N71" s="63">
        <f t="shared" si="4"/>
        <v>32</v>
      </c>
      <c r="O71" s="62">
        <v>45352</v>
      </c>
      <c r="P71" s="62">
        <v>46326</v>
      </c>
      <c r="Q71" s="60"/>
      <c r="R71" s="59">
        <v>45657</v>
      </c>
      <c r="S71" s="17"/>
      <c r="T71" s="59">
        <v>45944</v>
      </c>
      <c r="X71" s="17" t="s">
        <v>428</v>
      </c>
    </row>
    <row r="72" spans="1:25" s="21" customFormat="1" ht="14.65" customHeight="1" x14ac:dyDescent="0.3">
      <c r="A72" s="16" t="s">
        <v>149</v>
      </c>
      <c r="B72" s="17" t="s">
        <v>430</v>
      </c>
      <c r="C72" s="17"/>
      <c r="D72" s="29" t="s">
        <v>130</v>
      </c>
      <c r="E72" s="17" t="s">
        <v>425</v>
      </c>
      <c r="F72" s="18" t="s">
        <v>12</v>
      </c>
      <c r="G72" s="18" t="s">
        <v>12</v>
      </c>
      <c r="H72" s="18" t="s">
        <v>12</v>
      </c>
      <c r="I72" s="18" t="s">
        <v>12</v>
      </c>
      <c r="J72" s="18" t="s">
        <v>12</v>
      </c>
      <c r="K72" s="17" t="s">
        <v>427</v>
      </c>
      <c r="L72" s="17" t="s">
        <v>14</v>
      </c>
      <c r="M72" s="11">
        <v>100000</v>
      </c>
      <c r="N72" s="63">
        <f t="shared" si="4"/>
        <v>32</v>
      </c>
      <c r="O72" s="62">
        <v>44986</v>
      </c>
      <c r="P72" s="62">
        <v>45961</v>
      </c>
      <c r="Q72" s="60"/>
      <c r="R72" s="59">
        <v>46022</v>
      </c>
      <c r="S72" s="17"/>
      <c r="T72" s="59">
        <v>45944</v>
      </c>
    </row>
    <row r="73" spans="1:25" s="21" customFormat="1" ht="14.65" customHeight="1" x14ac:dyDescent="0.3">
      <c r="A73" s="16" t="s">
        <v>150</v>
      </c>
      <c r="B73" s="17" t="s">
        <v>431</v>
      </c>
      <c r="C73" s="17"/>
      <c r="D73" s="29" t="s">
        <v>130</v>
      </c>
      <c r="E73" s="17" t="s">
        <v>19</v>
      </c>
      <c r="F73" s="18" t="s">
        <v>12</v>
      </c>
      <c r="G73" s="31" t="s">
        <v>13</v>
      </c>
      <c r="H73" s="31" t="s">
        <v>13</v>
      </c>
      <c r="I73" s="31" t="s">
        <v>13</v>
      </c>
      <c r="J73" s="31" t="s">
        <v>13</v>
      </c>
      <c r="K73" s="45"/>
      <c r="L73" s="45" t="s">
        <v>14</v>
      </c>
      <c r="M73" s="46" t="s">
        <v>14</v>
      </c>
      <c r="N73" s="65">
        <f t="shared" si="4"/>
        <v>37</v>
      </c>
      <c r="O73" s="66">
        <v>44896</v>
      </c>
      <c r="P73" s="66">
        <v>46022</v>
      </c>
      <c r="Q73" s="67"/>
      <c r="R73" s="67"/>
      <c r="S73" s="47"/>
      <c r="T73" s="68">
        <v>45944</v>
      </c>
      <c r="U73" s="48"/>
      <c r="V73" s="48"/>
      <c r="W73" s="57" t="s">
        <v>359</v>
      </c>
    </row>
    <row r="74" spans="1:25" s="21" customFormat="1" ht="14.65" customHeight="1" x14ac:dyDescent="0.3">
      <c r="A74" s="16" t="s">
        <v>151</v>
      </c>
      <c r="B74" s="17" t="s">
        <v>152</v>
      </c>
      <c r="C74" s="17"/>
      <c r="D74" s="29" t="s">
        <v>130</v>
      </c>
      <c r="E74" s="17" t="s">
        <v>37</v>
      </c>
      <c r="F74" s="18" t="s">
        <v>12</v>
      </c>
      <c r="G74" s="18" t="s">
        <v>12</v>
      </c>
      <c r="H74" s="18" t="s">
        <v>12</v>
      </c>
      <c r="I74" s="18" t="s">
        <v>12</v>
      </c>
      <c r="J74" s="18" t="s">
        <v>12</v>
      </c>
      <c r="K74" s="17" t="s">
        <v>429</v>
      </c>
      <c r="L74" s="17" t="s">
        <v>14</v>
      </c>
      <c r="M74" s="17" t="s">
        <v>380</v>
      </c>
      <c r="N74" s="63">
        <f t="shared" si="4"/>
        <v>24</v>
      </c>
      <c r="O74" s="62">
        <v>44197</v>
      </c>
      <c r="P74" s="62">
        <v>44926</v>
      </c>
      <c r="Q74" s="60"/>
      <c r="R74" s="60"/>
      <c r="S74" s="17"/>
      <c r="T74" s="59">
        <v>45925</v>
      </c>
    </row>
    <row r="75" spans="1:25" s="21" customFormat="1" ht="14.65" customHeight="1" x14ac:dyDescent="0.3">
      <c r="A75" s="16" t="s">
        <v>153</v>
      </c>
      <c r="B75" s="17" t="s">
        <v>154</v>
      </c>
      <c r="C75" s="17"/>
      <c r="D75" s="29" t="s">
        <v>130</v>
      </c>
      <c r="E75" s="17" t="s">
        <v>388</v>
      </c>
      <c r="F75" s="18" t="s">
        <v>12</v>
      </c>
      <c r="G75" s="18" t="s">
        <v>12</v>
      </c>
      <c r="H75" s="18" t="s">
        <v>12</v>
      </c>
      <c r="I75" s="18" t="s">
        <v>12</v>
      </c>
      <c r="J75" s="18" t="s">
        <v>12</v>
      </c>
      <c r="K75" s="17" t="s">
        <v>388</v>
      </c>
      <c r="L75" s="17" t="s">
        <v>14</v>
      </c>
      <c r="M75" s="17" t="s">
        <v>380</v>
      </c>
      <c r="N75" s="63">
        <f t="shared" si="4"/>
        <v>36</v>
      </c>
      <c r="O75" s="62">
        <v>45658</v>
      </c>
      <c r="P75" s="62">
        <v>46752</v>
      </c>
      <c r="Q75" s="60"/>
      <c r="R75" s="60"/>
      <c r="S75" s="17"/>
      <c r="T75" s="59">
        <v>45944</v>
      </c>
    </row>
    <row r="76" spans="1:25" s="21" customFormat="1" ht="71.5" customHeight="1" x14ac:dyDescent="0.3">
      <c r="A76" s="16" t="s">
        <v>155</v>
      </c>
      <c r="B76" s="17" t="s">
        <v>156</v>
      </c>
      <c r="C76" s="17"/>
      <c r="D76" s="29" t="s">
        <v>130</v>
      </c>
      <c r="E76" s="17" t="s">
        <v>19</v>
      </c>
      <c r="F76" s="18" t="s">
        <v>12</v>
      </c>
      <c r="G76" s="31" t="s">
        <v>13</v>
      </c>
      <c r="H76" s="31" t="s">
        <v>13</v>
      </c>
      <c r="I76" s="31" t="s">
        <v>13</v>
      </c>
      <c r="J76" s="31" t="s">
        <v>13</v>
      </c>
      <c r="K76" s="45" t="s">
        <v>14</v>
      </c>
      <c r="L76" s="45" t="s">
        <v>14</v>
      </c>
      <c r="M76" s="58">
        <v>164875</v>
      </c>
      <c r="N76" s="65">
        <f t="shared" si="4"/>
        <v>37</v>
      </c>
      <c r="O76" s="66">
        <v>44896</v>
      </c>
      <c r="P76" s="66">
        <v>46022</v>
      </c>
      <c r="Q76" s="67"/>
      <c r="R76" s="67"/>
      <c r="S76" s="48"/>
      <c r="T76" s="68">
        <v>45944</v>
      </c>
      <c r="U76" s="48"/>
      <c r="V76" s="48"/>
      <c r="W76" s="57" t="s">
        <v>359</v>
      </c>
      <c r="Y76" s="17" t="s">
        <v>433</v>
      </c>
    </row>
    <row r="77" spans="1:25" s="21" customFormat="1" ht="36" customHeight="1" x14ac:dyDescent="0.3">
      <c r="A77" s="16" t="s">
        <v>157</v>
      </c>
      <c r="B77" s="17" t="s">
        <v>158</v>
      </c>
      <c r="C77" s="17"/>
      <c r="D77" s="30" t="s">
        <v>159</v>
      </c>
      <c r="E77" s="17" t="s">
        <v>19</v>
      </c>
      <c r="F77" s="18" t="s">
        <v>12</v>
      </c>
      <c r="G77" s="31" t="s">
        <v>13</v>
      </c>
      <c r="H77" s="31" t="s">
        <v>13</v>
      </c>
      <c r="I77" s="31" t="s">
        <v>13</v>
      </c>
      <c r="J77" s="31" t="s">
        <v>13</v>
      </c>
      <c r="K77" s="45" t="s">
        <v>383</v>
      </c>
      <c r="L77" s="48" t="s">
        <v>14</v>
      </c>
      <c r="M77" s="58">
        <v>500000</v>
      </c>
      <c r="N77" s="65">
        <f t="shared" si="4"/>
        <v>48</v>
      </c>
      <c r="O77" s="66">
        <v>44927</v>
      </c>
      <c r="P77" s="66">
        <v>46387</v>
      </c>
      <c r="Q77" s="67"/>
      <c r="R77" s="67"/>
      <c r="S77" s="48"/>
      <c r="T77" s="68">
        <v>45944</v>
      </c>
      <c r="U77" s="48"/>
      <c r="V77" s="48"/>
      <c r="W77" s="57" t="s">
        <v>359</v>
      </c>
    </row>
    <row r="78" spans="1:25" s="21" customFormat="1" ht="24" customHeight="1" x14ac:dyDescent="0.3">
      <c r="A78" s="16" t="s">
        <v>160</v>
      </c>
      <c r="B78" s="17" t="s">
        <v>161</v>
      </c>
      <c r="C78" s="17"/>
      <c r="D78" s="30" t="s">
        <v>159</v>
      </c>
      <c r="E78" s="17" t="s">
        <v>19</v>
      </c>
      <c r="F78" s="18" t="s">
        <v>12</v>
      </c>
      <c r="G78" s="31" t="s">
        <v>13</v>
      </c>
      <c r="H78" s="31" t="s">
        <v>13</v>
      </c>
      <c r="I78" s="31" t="s">
        <v>13</v>
      </c>
      <c r="J78" s="31" t="s">
        <v>13</v>
      </c>
      <c r="K78" s="45" t="s">
        <v>383</v>
      </c>
      <c r="L78" s="45" t="s">
        <v>14</v>
      </c>
      <c r="M78" s="58">
        <v>1400000</v>
      </c>
      <c r="N78" s="65">
        <f t="shared" si="4"/>
        <v>48</v>
      </c>
      <c r="O78" s="66">
        <v>44927</v>
      </c>
      <c r="P78" s="66">
        <v>46387</v>
      </c>
      <c r="Q78" s="67"/>
      <c r="R78" s="67"/>
      <c r="S78" s="48"/>
      <c r="T78" s="68">
        <v>45944</v>
      </c>
      <c r="U78" s="48"/>
      <c r="V78" s="48"/>
      <c r="W78" s="57" t="s">
        <v>359</v>
      </c>
    </row>
    <row r="79" spans="1:25" x14ac:dyDescent="0.35">
      <c r="E79" s="17"/>
    </row>
    <row r="80" spans="1:25" x14ac:dyDescent="0.35">
      <c r="E80" s="17"/>
    </row>
    <row r="81" spans="5:5" x14ac:dyDescent="0.35">
      <c r="E81" s="17"/>
    </row>
    <row r="82" spans="5:5" x14ac:dyDescent="0.35">
      <c r="E82" s="17"/>
    </row>
    <row r="83" spans="5:5" x14ac:dyDescent="0.35">
      <c r="E83" s="17"/>
    </row>
    <row r="84" spans="5:5" x14ac:dyDescent="0.35">
      <c r="E84" s="17"/>
    </row>
    <row r="85" spans="5:5" x14ac:dyDescent="0.35">
      <c r="E85" s="17"/>
    </row>
    <row r="86" spans="5:5" x14ac:dyDescent="0.35">
      <c r="E86" s="17"/>
    </row>
    <row r="87" spans="5:5" x14ac:dyDescent="0.35">
      <c r="E87" s="17"/>
    </row>
    <row r="88" spans="5:5" x14ac:dyDescent="0.35">
      <c r="E88" s="17"/>
    </row>
    <row r="89" spans="5:5" x14ac:dyDescent="0.35">
      <c r="E89" s="17"/>
    </row>
    <row r="90" spans="5:5" x14ac:dyDescent="0.35">
      <c r="E90" s="17"/>
    </row>
    <row r="91" spans="5:5" x14ac:dyDescent="0.35">
      <c r="E91" s="17"/>
    </row>
    <row r="92" spans="5:5" x14ac:dyDescent="0.35">
      <c r="E92" s="17"/>
    </row>
    <row r="93" spans="5:5" x14ac:dyDescent="0.35">
      <c r="E93" s="17"/>
    </row>
    <row r="94" spans="5:5" x14ac:dyDescent="0.35">
      <c r="E94" s="17"/>
    </row>
    <row r="95" spans="5:5" x14ac:dyDescent="0.35">
      <c r="E95" s="17"/>
    </row>
    <row r="96" spans="5:5" x14ac:dyDescent="0.35">
      <c r="E96" s="17"/>
    </row>
    <row r="97" spans="5:5" x14ac:dyDescent="0.35">
      <c r="E97" s="17"/>
    </row>
    <row r="98" spans="5:5" x14ac:dyDescent="0.35">
      <c r="E98" s="17"/>
    </row>
    <row r="99" spans="5:5" x14ac:dyDescent="0.35">
      <c r="E99" s="17"/>
    </row>
    <row r="100" spans="5:5" x14ac:dyDescent="0.35">
      <c r="E100" s="17"/>
    </row>
    <row r="101" spans="5:5" x14ac:dyDescent="0.35">
      <c r="E101" s="17"/>
    </row>
    <row r="102" spans="5:5" x14ac:dyDescent="0.35">
      <c r="E102" s="17"/>
    </row>
    <row r="103" spans="5:5" x14ac:dyDescent="0.35">
      <c r="E103" s="17"/>
    </row>
    <row r="104" spans="5:5" x14ac:dyDescent="0.35">
      <c r="E104" s="17"/>
    </row>
    <row r="105" spans="5:5" x14ac:dyDescent="0.35">
      <c r="E105" s="17"/>
    </row>
    <row r="106" spans="5:5" x14ac:dyDescent="0.35">
      <c r="E106" s="17"/>
    </row>
    <row r="107" spans="5:5" x14ac:dyDescent="0.35">
      <c r="E107" s="17"/>
    </row>
    <row r="108" spans="5:5" x14ac:dyDescent="0.35">
      <c r="E108" s="17"/>
    </row>
    <row r="109" spans="5:5" x14ac:dyDescent="0.35">
      <c r="E109" s="17"/>
    </row>
    <row r="110" spans="5:5" x14ac:dyDescent="0.35">
      <c r="E110" s="17"/>
    </row>
    <row r="111" spans="5:5" x14ac:dyDescent="0.35">
      <c r="E111" s="17"/>
    </row>
    <row r="112" spans="5:5" x14ac:dyDescent="0.35">
      <c r="E112" s="17"/>
    </row>
    <row r="113" spans="5:5" x14ac:dyDescent="0.35">
      <c r="E113" s="17"/>
    </row>
    <row r="114" spans="5:5" x14ac:dyDescent="0.35">
      <c r="E114" s="17"/>
    </row>
    <row r="115" spans="5:5" x14ac:dyDescent="0.35">
      <c r="E115" s="17"/>
    </row>
    <row r="116" spans="5:5" x14ac:dyDescent="0.35">
      <c r="E116" s="17"/>
    </row>
    <row r="117" spans="5:5" x14ac:dyDescent="0.35">
      <c r="E117" s="17"/>
    </row>
    <row r="118" spans="5:5" x14ac:dyDescent="0.35">
      <c r="E118" s="17"/>
    </row>
    <row r="119" spans="5:5" x14ac:dyDescent="0.35">
      <c r="E119" s="17"/>
    </row>
    <row r="120" spans="5:5" x14ac:dyDescent="0.35">
      <c r="E120" s="17"/>
    </row>
    <row r="121" spans="5:5" x14ac:dyDescent="0.35">
      <c r="E121" s="17"/>
    </row>
    <row r="122" spans="5:5" x14ac:dyDescent="0.35">
      <c r="E122" s="17"/>
    </row>
    <row r="123" spans="5:5" x14ac:dyDescent="0.35">
      <c r="E123" s="17"/>
    </row>
    <row r="124" spans="5:5" x14ac:dyDescent="0.35">
      <c r="E124" s="17"/>
    </row>
    <row r="125" spans="5:5" x14ac:dyDescent="0.35">
      <c r="E125" s="17"/>
    </row>
    <row r="126" spans="5:5" x14ac:dyDescent="0.35">
      <c r="E126" s="17"/>
    </row>
    <row r="127" spans="5:5" x14ac:dyDescent="0.35">
      <c r="E127" s="17"/>
    </row>
    <row r="128" spans="5:5" x14ac:dyDescent="0.35">
      <c r="E128" s="17"/>
    </row>
    <row r="129" spans="5:5" x14ac:dyDescent="0.35">
      <c r="E129" s="17"/>
    </row>
    <row r="130" spans="5:5" x14ac:dyDescent="0.35">
      <c r="E130" s="17"/>
    </row>
    <row r="131" spans="5:5" x14ac:dyDescent="0.35">
      <c r="E131" s="17"/>
    </row>
    <row r="132" spans="5:5" x14ac:dyDescent="0.35">
      <c r="E132" s="17"/>
    </row>
    <row r="133" spans="5:5" x14ac:dyDescent="0.35">
      <c r="E133" s="17"/>
    </row>
    <row r="134" spans="5:5" x14ac:dyDescent="0.35">
      <c r="E134" s="17"/>
    </row>
    <row r="135" spans="5:5" x14ac:dyDescent="0.35">
      <c r="E135" s="17"/>
    </row>
    <row r="136" spans="5:5" x14ac:dyDescent="0.35">
      <c r="E136" s="17"/>
    </row>
    <row r="137" spans="5:5" x14ac:dyDescent="0.35">
      <c r="E137" s="17"/>
    </row>
    <row r="138" spans="5:5" x14ac:dyDescent="0.35">
      <c r="E138" s="17"/>
    </row>
    <row r="139" spans="5:5" x14ac:dyDescent="0.35">
      <c r="E139" s="17"/>
    </row>
    <row r="140" spans="5:5" x14ac:dyDescent="0.35">
      <c r="E140" s="17"/>
    </row>
    <row r="141" spans="5:5" x14ac:dyDescent="0.35">
      <c r="E141" s="17"/>
    </row>
    <row r="142" spans="5:5" x14ac:dyDescent="0.35">
      <c r="E142" s="17"/>
    </row>
    <row r="143" spans="5:5" x14ac:dyDescent="0.35">
      <c r="E143" s="17"/>
    </row>
    <row r="144" spans="5:5" x14ac:dyDescent="0.35">
      <c r="E144" s="17"/>
    </row>
    <row r="145" spans="5:5" x14ac:dyDescent="0.35">
      <c r="E145" s="17"/>
    </row>
    <row r="146" spans="5:5" x14ac:dyDescent="0.35">
      <c r="E146" s="17"/>
    </row>
    <row r="147" spans="5:5" x14ac:dyDescent="0.35">
      <c r="E147" s="17"/>
    </row>
    <row r="148" spans="5:5" x14ac:dyDescent="0.35">
      <c r="E148" s="17"/>
    </row>
    <row r="149" spans="5:5" x14ac:dyDescent="0.35">
      <c r="E149" s="17"/>
    </row>
    <row r="150" spans="5:5" x14ac:dyDescent="0.35">
      <c r="E150" s="17"/>
    </row>
    <row r="151" spans="5:5" x14ac:dyDescent="0.35">
      <c r="E151" s="17"/>
    </row>
    <row r="152" spans="5:5" x14ac:dyDescent="0.35">
      <c r="E152" s="17"/>
    </row>
    <row r="153" spans="5:5" x14ac:dyDescent="0.35">
      <c r="E153" s="17"/>
    </row>
    <row r="154" spans="5:5" x14ac:dyDescent="0.35">
      <c r="E154" s="17"/>
    </row>
    <row r="155" spans="5:5" x14ac:dyDescent="0.35">
      <c r="E155" s="17"/>
    </row>
    <row r="156" spans="5:5" x14ac:dyDescent="0.35">
      <c r="E156" s="17"/>
    </row>
    <row r="157" spans="5:5" x14ac:dyDescent="0.35">
      <c r="E157" s="17"/>
    </row>
    <row r="158" spans="5:5" x14ac:dyDescent="0.35">
      <c r="E158" s="17"/>
    </row>
    <row r="159" spans="5:5" x14ac:dyDescent="0.35">
      <c r="E159" s="17"/>
    </row>
    <row r="160" spans="5:5" x14ac:dyDescent="0.35">
      <c r="E160" s="17"/>
    </row>
    <row r="161" spans="5:5" x14ac:dyDescent="0.35">
      <c r="E161" s="17"/>
    </row>
    <row r="162" spans="5:5" x14ac:dyDescent="0.35">
      <c r="E162" s="17"/>
    </row>
    <row r="163" spans="5:5" x14ac:dyDescent="0.35">
      <c r="E163" s="17"/>
    </row>
    <row r="164" spans="5:5" x14ac:dyDescent="0.35">
      <c r="E164" s="17"/>
    </row>
    <row r="165" spans="5:5" x14ac:dyDescent="0.35">
      <c r="E165" s="17"/>
    </row>
    <row r="166" spans="5:5" x14ac:dyDescent="0.35">
      <c r="E166" s="17"/>
    </row>
    <row r="167" spans="5:5" x14ac:dyDescent="0.35">
      <c r="E167" s="17"/>
    </row>
    <row r="168" spans="5:5" x14ac:dyDescent="0.35">
      <c r="E168" s="17"/>
    </row>
    <row r="169" spans="5:5" x14ac:dyDescent="0.35">
      <c r="E169" s="17"/>
    </row>
    <row r="170" spans="5:5" x14ac:dyDescent="0.35">
      <c r="E170" s="17"/>
    </row>
    <row r="171" spans="5:5" x14ac:dyDescent="0.35">
      <c r="E171" s="17"/>
    </row>
    <row r="172" spans="5:5" x14ac:dyDescent="0.35">
      <c r="E172" s="17"/>
    </row>
    <row r="173" spans="5:5" x14ac:dyDescent="0.35">
      <c r="E173" s="17"/>
    </row>
    <row r="174" spans="5:5" x14ac:dyDescent="0.35">
      <c r="E174" s="17"/>
    </row>
    <row r="175" spans="5:5" x14ac:dyDescent="0.35">
      <c r="E175" s="17"/>
    </row>
    <row r="176" spans="5:5" x14ac:dyDescent="0.35">
      <c r="E176" s="17"/>
    </row>
    <row r="177" spans="5:5" x14ac:dyDescent="0.35">
      <c r="E177" s="17"/>
    </row>
    <row r="178" spans="5:5" x14ac:dyDescent="0.35">
      <c r="E178" s="17"/>
    </row>
    <row r="179" spans="5:5" x14ac:dyDescent="0.35">
      <c r="E179" s="17"/>
    </row>
    <row r="180" spans="5:5" x14ac:dyDescent="0.35">
      <c r="E180" s="17"/>
    </row>
    <row r="181" spans="5:5" x14ac:dyDescent="0.35">
      <c r="E181" s="17"/>
    </row>
    <row r="182" spans="5:5" x14ac:dyDescent="0.35">
      <c r="E182" s="17"/>
    </row>
    <row r="183" spans="5:5" x14ac:dyDescent="0.35">
      <c r="E183" s="17"/>
    </row>
    <row r="184" spans="5:5" x14ac:dyDescent="0.35">
      <c r="E184" s="17"/>
    </row>
    <row r="185" spans="5:5" x14ac:dyDescent="0.35">
      <c r="E185" s="17"/>
    </row>
    <row r="186" spans="5:5" x14ac:dyDescent="0.35">
      <c r="E186" s="17"/>
    </row>
    <row r="187" spans="5:5" x14ac:dyDescent="0.35">
      <c r="E187" s="17"/>
    </row>
    <row r="188" spans="5:5" x14ac:dyDescent="0.35">
      <c r="E188" s="17"/>
    </row>
    <row r="189" spans="5:5" x14ac:dyDescent="0.35">
      <c r="E189" s="17"/>
    </row>
    <row r="190" spans="5:5" x14ac:dyDescent="0.35">
      <c r="E190" s="17"/>
    </row>
    <row r="191" spans="5:5" x14ac:dyDescent="0.35">
      <c r="E191" s="17"/>
    </row>
    <row r="192" spans="5:5" x14ac:dyDescent="0.35">
      <c r="E192" s="17"/>
    </row>
    <row r="193" spans="5:5" x14ac:dyDescent="0.35">
      <c r="E193" s="17"/>
    </row>
    <row r="194" spans="5:5" x14ac:dyDescent="0.35">
      <c r="E194" s="17"/>
    </row>
    <row r="195" spans="5:5" x14ac:dyDescent="0.35">
      <c r="E195" s="17"/>
    </row>
    <row r="196" spans="5:5" x14ac:dyDescent="0.35">
      <c r="E196" s="17"/>
    </row>
    <row r="197" spans="5:5" x14ac:dyDescent="0.35">
      <c r="E197" s="17"/>
    </row>
    <row r="198" spans="5:5" x14ac:dyDescent="0.35">
      <c r="E198" s="17"/>
    </row>
    <row r="199" spans="5:5" x14ac:dyDescent="0.35">
      <c r="E199" s="17"/>
    </row>
    <row r="200" spans="5:5" x14ac:dyDescent="0.35">
      <c r="E200" s="17"/>
    </row>
    <row r="201" spans="5:5" x14ac:dyDescent="0.35">
      <c r="E201" s="17"/>
    </row>
    <row r="202" spans="5:5" x14ac:dyDescent="0.35">
      <c r="E202" s="17"/>
    </row>
    <row r="203" spans="5:5" x14ac:dyDescent="0.35">
      <c r="E203" s="17"/>
    </row>
    <row r="204" spans="5:5" x14ac:dyDescent="0.35">
      <c r="E204" s="17"/>
    </row>
    <row r="205" spans="5:5" x14ac:dyDescent="0.35">
      <c r="E205" s="17"/>
    </row>
    <row r="206" spans="5:5" x14ac:dyDescent="0.35">
      <c r="E206" s="17"/>
    </row>
    <row r="207" spans="5:5" x14ac:dyDescent="0.35">
      <c r="E207" s="17"/>
    </row>
    <row r="208" spans="5:5" x14ac:dyDescent="0.35">
      <c r="E208" s="17"/>
    </row>
    <row r="209" spans="5:5" x14ac:dyDescent="0.35">
      <c r="E209" s="17"/>
    </row>
    <row r="210" spans="5:5" x14ac:dyDescent="0.35">
      <c r="E210" s="17"/>
    </row>
    <row r="211" spans="5:5" x14ac:dyDescent="0.35">
      <c r="E211" s="17"/>
    </row>
    <row r="212" spans="5:5" x14ac:dyDescent="0.35">
      <c r="E212" s="17"/>
    </row>
    <row r="213" spans="5:5" x14ac:dyDescent="0.35">
      <c r="E213" s="17"/>
    </row>
    <row r="214" spans="5:5" x14ac:dyDescent="0.35">
      <c r="E214" s="17"/>
    </row>
    <row r="215" spans="5:5" x14ac:dyDescent="0.35">
      <c r="E215" s="17"/>
    </row>
    <row r="216" spans="5:5" x14ac:dyDescent="0.35">
      <c r="E216" s="17"/>
    </row>
    <row r="217" spans="5:5" x14ac:dyDescent="0.35">
      <c r="E217" s="17"/>
    </row>
    <row r="218" spans="5:5" x14ac:dyDescent="0.35">
      <c r="E218" s="17"/>
    </row>
    <row r="219" spans="5:5" x14ac:dyDescent="0.35">
      <c r="E219" s="17"/>
    </row>
    <row r="220" spans="5:5" x14ac:dyDescent="0.35">
      <c r="E220" s="17"/>
    </row>
    <row r="221" spans="5:5" x14ac:dyDescent="0.35">
      <c r="E221" s="17"/>
    </row>
    <row r="222" spans="5:5" x14ac:dyDescent="0.35">
      <c r="E222" s="17"/>
    </row>
    <row r="223" spans="5:5" x14ac:dyDescent="0.35">
      <c r="E223" s="17"/>
    </row>
    <row r="224" spans="5:5" x14ac:dyDescent="0.35">
      <c r="E224" s="17"/>
    </row>
    <row r="225" spans="5:5" x14ac:dyDescent="0.35">
      <c r="E225" s="17"/>
    </row>
    <row r="226" spans="5:5" x14ac:dyDescent="0.35">
      <c r="E226" s="17"/>
    </row>
    <row r="227" spans="5:5" x14ac:dyDescent="0.35">
      <c r="E227" s="17"/>
    </row>
    <row r="228" spans="5:5" x14ac:dyDescent="0.35">
      <c r="E228" s="17"/>
    </row>
    <row r="229" spans="5:5" x14ac:dyDescent="0.35">
      <c r="E229" s="17"/>
    </row>
    <row r="230" spans="5:5" x14ac:dyDescent="0.35">
      <c r="E230" s="17"/>
    </row>
    <row r="231" spans="5:5" x14ac:dyDescent="0.35">
      <c r="E231" s="17"/>
    </row>
    <row r="232" spans="5:5" x14ac:dyDescent="0.35">
      <c r="E232" s="17"/>
    </row>
    <row r="233" spans="5:5" x14ac:dyDescent="0.35">
      <c r="E233" s="17"/>
    </row>
    <row r="234" spans="5:5" x14ac:dyDescent="0.35">
      <c r="E234" s="17"/>
    </row>
    <row r="235" spans="5:5" x14ac:dyDescent="0.35">
      <c r="E235" s="17"/>
    </row>
    <row r="236" spans="5:5" x14ac:dyDescent="0.35">
      <c r="E236" s="17"/>
    </row>
    <row r="237" spans="5:5" x14ac:dyDescent="0.35">
      <c r="E237" s="17"/>
    </row>
    <row r="238" spans="5:5" x14ac:dyDescent="0.35">
      <c r="E238" s="17"/>
    </row>
    <row r="239" spans="5:5" x14ac:dyDescent="0.35">
      <c r="E239" s="17"/>
    </row>
    <row r="240" spans="5:5" x14ac:dyDescent="0.35">
      <c r="E240" s="17"/>
    </row>
    <row r="241" spans="5:5" x14ac:dyDescent="0.35">
      <c r="E241" s="17"/>
    </row>
    <row r="242" spans="5:5" x14ac:dyDescent="0.35">
      <c r="E242" s="17"/>
    </row>
    <row r="243" spans="5:5" x14ac:dyDescent="0.35">
      <c r="E243" s="17"/>
    </row>
    <row r="244" spans="5:5" x14ac:dyDescent="0.35">
      <c r="E244" s="17"/>
    </row>
    <row r="245" spans="5:5" x14ac:dyDescent="0.35">
      <c r="E245" s="17"/>
    </row>
    <row r="246" spans="5:5" x14ac:dyDescent="0.35">
      <c r="E246" s="17"/>
    </row>
    <row r="247" spans="5:5" x14ac:dyDescent="0.35">
      <c r="E247" s="17"/>
    </row>
    <row r="248" spans="5:5" x14ac:dyDescent="0.35">
      <c r="E248" s="17"/>
    </row>
    <row r="249" spans="5:5" x14ac:dyDescent="0.35">
      <c r="E249" s="17"/>
    </row>
    <row r="250" spans="5:5" x14ac:dyDescent="0.35">
      <c r="E250" s="17"/>
    </row>
    <row r="251" spans="5:5" x14ac:dyDescent="0.35">
      <c r="E251" s="17"/>
    </row>
    <row r="252" spans="5:5" x14ac:dyDescent="0.35">
      <c r="E252" s="17"/>
    </row>
    <row r="253" spans="5:5" x14ac:dyDescent="0.35">
      <c r="E253" s="17"/>
    </row>
    <row r="254" spans="5:5" x14ac:dyDescent="0.35">
      <c r="E254" s="17"/>
    </row>
    <row r="255" spans="5:5" x14ac:dyDescent="0.35">
      <c r="E255" s="17"/>
    </row>
    <row r="256" spans="5:5" x14ac:dyDescent="0.35">
      <c r="E256" s="17"/>
    </row>
    <row r="257" spans="5:5" x14ac:dyDescent="0.35">
      <c r="E257" s="17"/>
    </row>
    <row r="258" spans="5:5" x14ac:dyDescent="0.35">
      <c r="E258" s="17"/>
    </row>
    <row r="259" spans="5:5" x14ac:dyDescent="0.35">
      <c r="E259" s="17"/>
    </row>
    <row r="260" spans="5:5" x14ac:dyDescent="0.35">
      <c r="E260" s="17"/>
    </row>
    <row r="261" spans="5:5" x14ac:dyDescent="0.35">
      <c r="E261" s="17"/>
    </row>
    <row r="262" spans="5:5" x14ac:dyDescent="0.35">
      <c r="E262" s="17"/>
    </row>
    <row r="263" spans="5:5" x14ac:dyDescent="0.35">
      <c r="E263" s="17"/>
    </row>
    <row r="264" spans="5:5" x14ac:dyDescent="0.35">
      <c r="E264" s="17"/>
    </row>
    <row r="265" spans="5:5" x14ac:dyDescent="0.35">
      <c r="E265" s="17"/>
    </row>
    <row r="266" spans="5:5" x14ac:dyDescent="0.35">
      <c r="E266" s="17"/>
    </row>
    <row r="267" spans="5:5" x14ac:dyDescent="0.35">
      <c r="E267" s="17"/>
    </row>
    <row r="268" spans="5:5" x14ac:dyDescent="0.35">
      <c r="E268" s="17"/>
    </row>
    <row r="269" spans="5:5" x14ac:dyDescent="0.35">
      <c r="E269" s="17"/>
    </row>
    <row r="270" spans="5:5" x14ac:dyDescent="0.35">
      <c r="E270" s="17"/>
    </row>
    <row r="271" spans="5:5" x14ac:dyDescent="0.35">
      <c r="E271" s="17"/>
    </row>
    <row r="272" spans="5:5" x14ac:dyDescent="0.35">
      <c r="E272" s="17"/>
    </row>
    <row r="273" spans="5:5" x14ac:dyDescent="0.35">
      <c r="E273" s="17"/>
    </row>
    <row r="274" spans="5:5" x14ac:dyDescent="0.35">
      <c r="E274" s="17"/>
    </row>
    <row r="275" spans="5:5" x14ac:dyDescent="0.35">
      <c r="E275" s="17"/>
    </row>
    <row r="276" spans="5:5" x14ac:dyDescent="0.35">
      <c r="E276" s="17"/>
    </row>
    <row r="277" spans="5:5" x14ac:dyDescent="0.35">
      <c r="E277" s="17"/>
    </row>
    <row r="278" spans="5:5" x14ac:dyDescent="0.35">
      <c r="E278" s="17"/>
    </row>
    <row r="279" spans="5:5" x14ac:dyDescent="0.35">
      <c r="E279" s="17"/>
    </row>
    <row r="280" spans="5:5" x14ac:dyDescent="0.35">
      <c r="E280" s="17"/>
    </row>
    <row r="281" spans="5:5" x14ac:dyDescent="0.35">
      <c r="E281" s="17"/>
    </row>
    <row r="282" spans="5:5" x14ac:dyDescent="0.35">
      <c r="E282" s="17"/>
    </row>
    <row r="283" spans="5:5" x14ac:dyDescent="0.35">
      <c r="E283" s="17"/>
    </row>
    <row r="284" spans="5:5" x14ac:dyDescent="0.35">
      <c r="E284" s="17"/>
    </row>
    <row r="285" spans="5:5" x14ac:dyDescent="0.35">
      <c r="E285" s="17"/>
    </row>
    <row r="286" spans="5:5" x14ac:dyDescent="0.35">
      <c r="E286" s="17"/>
    </row>
    <row r="287" spans="5:5" x14ac:dyDescent="0.35">
      <c r="E287" s="17"/>
    </row>
    <row r="288" spans="5:5" x14ac:dyDescent="0.35">
      <c r="E288" s="17"/>
    </row>
    <row r="289" spans="5:5" x14ac:dyDescent="0.35">
      <c r="E289" s="17"/>
    </row>
    <row r="290" spans="5:5" x14ac:dyDescent="0.35">
      <c r="E290" s="17"/>
    </row>
    <row r="291" spans="5:5" x14ac:dyDescent="0.35">
      <c r="E291" s="17"/>
    </row>
    <row r="292" spans="5:5" x14ac:dyDescent="0.35">
      <c r="E292" s="17"/>
    </row>
    <row r="293" spans="5:5" x14ac:dyDescent="0.35">
      <c r="E293" s="17"/>
    </row>
    <row r="294" spans="5:5" x14ac:dyDescent="0.35">
      <c r="E294" s="17"/>
    </row>
    <row r="295" spans="5:5" x14ac:dyDescent="0.35">
      <c r="E295" s="17"/>
    </row>
    <row r="296" spans="5:5" x14ac:dyDescent="0.35">
      <c r="E296" s="17"/>
    </row>
    <row r="297" spans="5:5" x14ac:dyDescent="0.35">
      <c r="E297" s="17"/>
    </row>
    <row r="298" spans="5:5" x14ac:dyDescent="0.35">
      <c r="E298" s="17"/>
    </row>
    <row r="299" spans="5:5" x14ac:dyDescent="0.35">
      <c r="E299" s="17"/>
    </row>
    <row r="300" spans="5:5" x14ac:dyDescent="0.35">
      <c r="E300" s="17"/>
    </row>
    <row r="301" spans="5:5" x14ac:dyDescent="0.35">
      <c r="E301" s="17"/>
    </row>
    <row r="302" spans="5:5" x14ac:dyDescent="0.35">
      <c r="E302" s="17"/>
    </row>
    <row r="303" spans="5:5" x14ac:dyDescent="0.35">
      <c r="E303" s="17"/>
    </row>
    <row r="304" spans="5:5" x14ac:dyDescent="0.35">
      <c r="E304" s="17"/>
    </row>
    <row r="305" spans="5:5" x14ac:dyDescent="0.35">
      <c r="E305" s="17"/>
    </row>
    <row r="306" spans="5:5" x14ac:dyDescent="0.35">
      <c r="E306" s="17"/>
    </row>
    <row r="307" spans="5:5" x14ac:dyDescent="0.35">
      <c r="E307" s="17"/>
    </row>
    <row r="308" spans="5:5" x14ac:dyDescent="0.35">
      <c r="E308" s="17"/>
    </row>
    <row r="309" spans="5:5" x14ac:dyDescent="0.35">
      <c r="E309" s="17"/>
    </row>
    <row r="310" spans="5:5" x14ac:dyDescent="0.35">
      <c r="E310" s="17"/>
    </row>
    <row r="311" spans="5:5" x14ac:dyDescent="0.35">
      <c r="E311" s="17"/>
    </row>
    <row r="312" spans="5:5" x14ac:dyDescent="0.35">
      <c r="E312" s="17"/>
    </row>
    <row r="313" spans="5:5" x14ac:dyDescent="0.35">
      <c r="E313" s="17"/>
    </row>
    <row r="314" spans="5:5" x14ac:dyDescent="0.35">
      <c r="E314" s="17"/>
    </row>
    <row r="315" spans="5:5" x14ac:dyDescent="0.35">
      <c r="E315" s="17"/>
    </row>
    <row r="316" spans="5:5" x14ac:dyDescent="0.35">
      <c r="E316" s="17"/>
    </row>
    <row r="317" spans="5:5" x14ac:dyDescent="0.35">
      <c r="E317" s="17"/>
    </row>
    <row r="318" spans="5:5" x14ac:dyDescent="0.35">
      <c r="E318" s="17"/>
    </row>
    <row r="319" spans="5:5" x14ac:dyDescent="0.35">
      <c r="E319" s="17"/>
    </row>
    <row r="320" spans="5:5" x14ac:dyDescent="0.35">
      <c r="E320" s="17"/>
    </row>
    <row r="321" spans="5:5" x14ac:dyDescent="0.35">
      <c r="E321" s="17"/>
    </row>
    <row r="322" spans="5:5" x14ac:dyDescent="0.35">
      <c r="E322" s="17"/>
    </row>
    <row r="323" spans="5:5" x14ac:dyDescent="0.35">
      <c r="E323" s="17"/>
    </row>
    <row r="324" spans="5:5" x14ac:dyDescent="0.35">
      <c r="E324" s="17"/>
    </row>
    <row r="325" spans="5:5" x14ac:dyDescent="0.35">
      <c r="E325" s="17"/>
    </row>
    <row r="326" spans="5:5" x14ac:dyDescent="0.35">
      <c r="E326" s="17"/>
    </row>
    <row r="327" spans="5:5" x14ac:dyDescent="0.35">
      <c r="E327" s="17"/>
    </row>
    <row r="328" spans="5:5" x14ac:dyDescent="0.35">
      <c r="E328" s="17"/>
    </row>
    <row r="329" spans="5:5" x14ac:dyDescent="0.35">
      <c r="E329" s="17"/>
    </row>
    <row r="330" spans="5:5" x14ac:dyDescent="0.35">
      <c r="E330" s="17"/>
    </row>
    <row r="331" spans="5:5" x14ac:dyDescent="0.35">
      <c r="E331" s="17"/>
    </row>
    <row r="332" spans="5:5" x14ac:dyDescent="0.35">
      <c r="E332" s="17"/>
    </row>
    <row r="333" spans="5:5" x14ac:dyDescent="0.35">
      <c r="E333" s="17"/>
    </row>
    <row r="334" spans="5:5" x14ac:dyDescent="0.35">
      <c r="E334" s="17"/>
    </row>
    <row r="335" spans="5:5" x14ac:dyDescent="0.35">
      <c r="E335" s="17"/>
    </row>
    <row r="336" spans="5:5" x14ac:dyDescent="0.35">
      <c r="E336" s="17"/>
    </row>
    <row r="337" spans="5:5" x14ac:dyDescent="0.35">
      <c r="E337" s="17"/>
    </row>
    <row r="338" spans="5:5" x14ac:dyDescent="0.35">
      <c r="E338" s="17"/>
    </row>
    <row r="339" spans="5:5" x14ac:dyDescent="0.35">
      <c r="E339" s="17"/>
    </row>
    <row r="340" spans="5:5" x14ac:dyDescent="0.35">
      <c r="E340" s="17"/>
    </row>
    <row r="341" spans="5:5" x14ac:dyDescent="0.35">
      <c r="E341" s="17"/>
    </row>
    <row r="342" spans="5:5" x14ac:dyDescent="0.35">
      <c r="E342" s="17"/>
    </row>
    <row r="343" spans="5:5" x14ac:dyDescent="0.35">
      <c r="E343" s="17"/>
    </row>
    <row r="344" spans="5:5" x14ac:dyDescent="0.35">
      <c r="E344" s="17"/>
    </row>
    <row r="345" spans="5:5" x14ac:dyDescent="0.35">
      <c r="E345" s="17"/>
    </row>
    <row r="346" spans="5:5" x14ac:dyDescent="0.35">
      <c r="E346" s="17"/>
    </row>
    <row r="347" spans="5:5" x14ac:dyDescent="0.35">
      <c r="E347" s="17"/>
    </row>
    <row r="348" spans="5:5" x14ac:dyDescent="0.35">
      <c r="E348" s="17"/>
    </row>
    <row r="349" spans="5:5" x14ac:dyDescent="0.35">
      <c r="E349" s="17"/>
    </row>
    <row r="350" spans="5:5" x14ac:dyDescent="0.35">
      <c r="E350" s="17"/>
    </row>
    <row r="351" spans="5:5" x14ac:dyDescent="0.35">
      <c r="E351" s="17"/>
    </row>
    <row r="352" spans="5:5" x14ac:dyDescent="0.35">
      <c r="E352" s="17"/>
    </row>
    <row r="353" spans="5:5" x14ac:dyDescent="0.35">
      <c r="E353" s="17"/>
    </row>
    <row r="354" spans="5:5" x14ac:dyDescent="0.35">
      <c r="E354" s="17"/>
    </row>
    <row r="355" spans="5:5" x14ac:dyDescent="0.35">
      <c r="E355" s="17"/>
    </row>
    <row r="356" spans="5:5" x14ac:dyDescent="0.35">
      <c r="E356" s="17"/>
    </row>
    <row r="357" spans="5:5" x14ac:dyDescent="0.35">
      <c r="E357" s="17"/>
    </row>
    <row r="358" spans="5:5" x14ac:dyDescent="0.35">
      <c r="E358" s="17"/>
    </row>
    <row r="359" spans="5:5" x14ac:dyDescent="0.35">
      <c r="E359" s="17"/>
    </row>
    <row r="360" spans="5:5" x14ac:dyDescent="0.35">
      <c r="E360" s="17"/>
    </row>
    <row r="361" spans="5:5" x14ac:dyDescent="0.35">
      <c r="E361" s="17"/>
    </row>
    <row r="362" spans="5:5" x14ac:dyDescent="0.35">
      <c r="E362" s="17"/>
    </row>
    <row r="363" spans="5:5" x14ac:dyDescent="0.35">
      <c r="E363" s="17"/>
    </row>
    <row r="364" spans="5:5" x14ac:dyDescent="0.35">
      <c r="E364" s="17"/>
    </row>
    <row r="365" spans="5:5" x14ac:dyDescent="0.35">
      <c r="E365" s="17"/>
    </row>
    <row r="366" spans="5:5" x14ac:dyDescent="0.35">
      <c r="E366" s="17"/>
    </row>
    <row r="367" spans="5:5" x14ac:dyDescent="0.35">
      <c r="E367" s="17"/>
    </row>
    <row r="368" spans="5:5" x14ac:dyDescent="0.35">
      <c r="E368" s="17"/>
    </row>
    <row r="369" spans="5:5" x14ac:dyDescent="0.35">
      <c r="E369" s="17"/>
    </row>
    <row r="370" spans="5:5" x14ac:dyDescent="0.35">
      <c r="E370" s="17"/>
    </row>
    <row r="371" spans="5:5" x14ac:dyDescent="0.35">
      <c r="E371" s="17"/>
    </row>
    <row r="372" spans="5:5" x14ac:dyDescent="0.35">
      <c r="E372" s="17"/>
    </row>
    <row r="373" spans="5:5" x14ac:dyDescent="0.35">
      <c r="E373" s="17"/>
    </row>
    <row r="374" spans="5:5" x14ac:dyDescent="0.35">
      <c r="E374" s="17"/>
    </row>
    <row r="375" spans="5:5" x14ac:dyDescent="0.35">
      <c r="E375" s="17"/>
    </row>
    <row r="376" spans="5:5" x14ac:dyDescent="0.35">
      <c r="E376" s="17"/>
    </row>
    <row r="377" spans="5:5" x14ac:dyDescent="0.35">
      <c r="E377" s="17"/>
    </row>
    <row r="378" spans="5:5" x14ac:dyDescent="0.35">
      <c r="E378" s="17"/>
    </row>
    <row r="379" spans="5:5" x14ac:dyDescent="0.35">
      <c r="E379" s="17"/>
    </row>
    <row r="380" spans="5:5" x14ac:dyDescent="0.35">
      <c r="E380" s="17"/>
    </row>
    <row r="381" spans="5:5" x14ac:dyDescent="0.35">
      <c r="E381" s="17"/>
    </row>
    <row r="382" spans="5:5" x14ac:dyDescent="0.35">
      <c r="E382" s="17"/>
    </row>
    <row r="383" spans="5:5" x14ac:dyDescent="0.35">
      <c r="E383" s="17"/>
    </row>
    <row r="384" spans="5:5" x14ac:dyDescent="0.35">
      <c r="E384" s="17"/>
    </row>
    <row r="385" spans="5:5" x14ac:dyDescent="0.35">
      <c r="E385" s="17"/>
    </row>
    <row r="386" spans="5:5" x14ac:dyDescent="0.35">
      <c r="E386" s="17"/>
    </row>
    <row r="387" spans="5:5" x14ac:dyDescent="0.35">
      <c r="E387" s="17"/>
    </row>
    <row r="388" spans="5:5" x14ac:dyDescent="0.35">
      <c r="E388" s="17"/>
    </row>
    <row r="389" spans="5:5" x14ac:dyDescent="0.35">
      <c r="E389" s="17"/>
    </row>
    <row r="390" spans="5:5" x14ac:dyDescent="0.35">
      <c r="E390" s="17"/>
    </row>
    <row r="391" spans="5:5" x14ac:dyDescent="0.35">
      <c r="E391" s="17"/>
    </row>
    <row r="392" spans="5:5" x14ac:dyDescent="0.35">
      <c r="E392" s="17"/>
    </row>
    <row r="393" spans="5:5" x14ac:dyDescent="0.35">
      <c r="E393" s="17"/>
    </row>
    <row r="394" spans="5:5" x14ac:dyDescent="0.35">
      <c r="E394" s="17"/>
    </row>
    <row r="395" spans="5:5" x14ac:dyDescent="0.35">
      <c r="E395" s="17"/>
    </row>
    <row r="396" spans="5:5" x14ac:dyDescent="0.35">
      <c r="E396" s="17"/>
    </row>
    <row r="397" spans="5:5" x14ac:dyDescent="0.35">
      <c r="E397" s="17"/>
    </row>
    <row r="398" spans="5:5" x14ac:dyDescent="0.35">
      <c r="E398" s="17"/>
    </row>
    <row r="399" spans="5:5" x14ac:dyDescent="0.35">
      <c r="E399" s="17"/>
    </row>
    <row r="400" spans="5:5" x14ac:dyDescent="0.35">
      <c r="E400" s="17"/>
    </row>
    <row r="401" spans="5:5" x14ac:dyDescent="0.35">
      <c r="E401" s="17"/>
    </row>
    <row r="402" spans="5:5" x14ac:dyDescent="0.35">
      <c r="E402" s="17"/>
    </row>
    <row r="403" spans="5:5" x14ac:dyDescent="0.35">
      <c r="E403" s="17"/>
    </row>
    <row r="404" spans="5:5" x14ac:dyDescent="0.35">
      <c r="E404" s="17"/>
    </row>
    <row r="405" spans="5:5" x14ac:dyDescent="0.35">
      <c r="E405" s="17"/>
    </row>
    <row r="406" spans="5:5" x14ac:dyDescent="0.35">
      <c r="E406" s="17"/>
    </row>
    <row r="407" spans="5:5" x14ac:dyDescent="0.35">
      <c r="E407" s="17"/>
    </row>
    <row r="408" spans="5:5" x14ac:dyDescent="0.35">
      <c r="E408" s="17"/>
    </row>
    <row r="409" spans="5:5" x14ac:dyDescent="0.35">
      <c r="E409" s="17"/>
    </row>
    <row r="410" spans="5:5" x14ac:dyDescent="0.35">
      <c r="E410" s="17"/>
    </row>
    <row r="411" spans="5:5" x14ac:dyDescent="0.35">
      <c r="E411" s="17"/>
    </row>
    <row r="412" spans="5:5" x14ac:dyDescent="0.35">
      <c r="E412" s="17"/>
    </row>
    <row r="413" spans="5:5" x14ac:dyDescent="0.35">
      <c r="E413" s="17"/>
    </row>
    <row r="414" spans="5:5" x14ac:dyDescent="0.35">
      <c r="E414" s="17"/>
    </row>
    <row r="415" spans="5:5" x14ac:dyDescent="0.35">
      <c r="E415" s="17"/>
    </row>
    <row r="416" spans="5:5" x14ac:dyDescent="0.35">
      <c r="E416" s="17"/>
    </row>
    <row r="417" spans="5:5" x14ac:dyDescent="0.35">
      <c r="E417" s="17"/>
    </row>
    <row r="418" spans="5:5" x14ac:dyDescent="0.35">
      <c r="E418" s="17"/>
    </row>
    <row r="419" spans="5:5" x14ac:dyDescent="0.35">
      <c r="E419" s="17"/>
    </row>
    <row r="420" spans="5:5" x14ac:dyDescent="0.35">
      <c r="E420" s="17"/>
    </row>
    <row r="421" spans="5:5" x14ac:dyDescent="0.35">
      <c r="E421" s="17"/>
    </row>
    <row r="422" spans="5:5" x14ac:dyDescent="0.35">
      <c r="E422" s="17"/>
    </row>
    <row r="423" spans="5:5" x14ac:dyDescent="0.35">
      <c r="E423" s="17"/>
    </row>
    <row r="424" spans="5:5" x14ac:dyDescent="0.35">
      <c r="E424" s="17"/>
    </row>
    <row r="425" spans="5:5" x14ac:dyDescent="0.35">
      <c r="E425" s="17"/>
    </row>
    <row r="426" spans="5:5" x14ac:dyDescent="0.35">
      <c r="E426" s="17"/>
    </row>
    <row r="427" spans="5:5" x14ac:dyDescent="0.35">
      <c r="E427" s="17"/>
    </row>
    <row r="428" spans="5:5" x14ac:dyDescent="0.35">
      <c r="E428" s="17"/>
    </row>
    <row r="429" spans="5:5" x14ac:dyDescent="0.35">
      <c r="E429" s="17"/>
    </row>
    <row r="430" spans="5:5" x14ac:dyDescent="0.35">
      <c r="E430" s="17"/>
    </row>
    <row r="431" spans="5:5" x14ac:dyDescent="0.35">
      <c r="E431" s="17"/>
    </row>
    <row r="432" spans="5:5" x14ac:dyDescent="0.35">
      <c r="E432" s="17"/>
    </row>
    <row r="433" spans="5:5" x14ac:dyDescent="0.35">
      <c r="E433" s="17"/>
    </row>
    <row r="434" spans="5:5" x14ac:dyDescent="0.35">
      <c r="E434" s="17"/>
    </row>
    <row r="435" spans="5:5" x14ac:dyDescent="0.35">
      <c r="E435" s="17"/>
    </row>
    <row r="436" spans="5:5" x14ac:dyDescent="0.35">
      <c r="E436" s="17"/>
    </row>
    <row r="437" spans="5:5" x14ac:dyDescent="0.35">
      <c r="E437" s="17"/>
    </row>
    <row r="438" spans="5:5" x14ac:dyDescent="0.35">
      <c r="E438" s="17"/>
    </row>
    <row r="439" spans="5:5" x14ac:dyDescent="0.35">
      <c r="E439" s="17"/>
    </row>
    <row r="440" spans="5:5" x14ac:dyDescent="0.35">
      <c r="E440" s="17"/>
    </row>
    <row r="441" spans="5:5" x14ac:dyDescent="0.35">
      <c r="E441" s="17"/>
    </row>
    <row r="442" spans="5:5" x14ac:dyDescent="0.35">
      <c r="E442" s="17"/>
    </row>
    <row r="443" spans="5:5" x14ac:dyDescent="0.35">
      <c r="E443" s="17"/>
    </row>
    <row r="444" spans="5:5" x14ac:dyDescent="0.35">
      <c r="E444" s="17"/>
    </row>
    <row r="445" spans="5:5" x14ac:dyDescent="0.35">
      <c r="E445" s="17"/>
    </row>
    <row r="446" spans="5:5" x14ac:dyDescent="0.35">
      <c r="E446" s="17"/>
    </row>
    <row r="447" spans="5:5" x14ac:dyDescent="0.35">
      <c r="E447" s="17"/>
    </row>
    <row r="448" spans="5:5" x14ac:dyDescent="0.35">
      <c r="E448" s="17"/>
    </row>
    <row r="449" spans="5:5" x14ac:dyDescent="0.35">
      <c r="E449" s="17"/>
    </row>
    <row r="450" spans="5:5" x14ac:dyDescent="0.35">
      <c r="E450" s="17"/>
    </row>
    <row r="451" spans="5:5" x14ac:dyDescent="0.35">
      <c r="E451" s="17"/>
    </row>
    <row r="452" spans="5:5" x14ac:dyDescent="0.35">
      <c r="E452" s="17"/>
    </row>
    <row r="453" spans="5:5" x14ac:dyDescent="0.35">
      <c r="E453" s="17"/>
    </row>
    <row r="454" spans="5:5" x14ac:dyDescent="0.35">
      <c r="E454" s="17"/>
    </row>
    <row r="455" spans="5:5" x14ac:dyDescent="0.35">
      <c r="E455" s="17"/>
    </row>
    <row r="456" spans="5:5" x14ac:dyDescent="0.35">
      <c r="E456" s="17"/>
    </row>
    <row r="457" spans="5:5" x14ac:dyDescent="0.35">
      <c r="E457" s="17"/>
    </row>
    <row r="458" spans="5:5" x14ac:dyDescent="0.35">
      <c r="E458" s="17"/>
    </row>
    <row r="459" spans="5:5" x14ac:dyDescent="0.35">
      <c r="E459" s="17"/>
    </row>
    <row r="460" spans="5:5" x14ac:dyDescent="0.35">
      <c r="E460" s="17"/>
    </row>
    <row r="461" spans="5:5" x14ac:dyDescent="0.35">
      <c r="E461" s="17"/>
    </row>
    <row r="462" spans="5:5" x14ac:dyDescent="0.35">
      <c r="E462" s="17"/>
    </row>
    <row r="463" spans="5:5" x14ac:dyDescent="0.35">
      <c r="E463" s="17"/>
    </row>
    <row r="464" spans="5:5" x14ac:dyDescent="0.35">
      <c r="E464" s="17"/>
    </row>
    <row r="465" spans="5:5" x14ac:dyDescent="0.35">
      <c r="E465" s="17"/>
    </row>
    <row r="466" spans="5:5" x14ac:dyDescent="0.35">
      <c r="E466" s="17"/>
    </row>
    <row r="467" spans="5:5" x14ac:dyDescent="0.35">
      <c r="E467" s="17"/>
    </row>
    <row r="468" spans="5:5" x14ac:dyDescent="0.35">
      <c r="E468" s="17"/>
    </row>
    <row r="469" spans="5:5" x14ac:dyDescent="0.35">
      <c r="E469" s="17"/>
    </row>
    <row r="470" spans="5:5" x14ac:dyDescent="0.35">
      <c r="E470" s="17"/>
    </row>
    <row r="471" spans="5:5" x14ac:dyDescent="0.35">
      <c r="E471" s="17"/>
    </row>
    <row r="472" spans="5:5" x14ac:dyDescent="0.35">
      <c r="E472" s="17"/>
    </row>
    <row r="473" spans="5:5" x14ac:dyDescent="0.35">
      <c r="E473" s="17"/>
    </row>
    <row r="474" spans="5:5" x14ac:dyDescent="0.35">
      <c r="E474" s="17"/>
    </row>
    <row r="475" spans="5:5" x14ac:dyDescent="0.35">
      <c r="E475" s="17"/>
    </row>
    <row r="476" spans="5:5" x14ac:dyDescent="0.35">
      <c r="E476" s="17"/>
    </row>
    <row r="477" spans="5:5" x14ac:dyDescent="0.35">
      <c r="E477" s="17"/>
    </row>
    <row r="478" spans="5:5" x14ac:dyDescent="0.35">
      <c r="E478" s="17"/>
    </row>
    <row r="479" spans="5:5" x14ac:dyDescent="0.35">
      <c r="E479" s="17"/>
    </row>
    <row r="480" spans="5:5" x14ac:dyDescent="0.35">
      <c r="E480" s="17"/>
    </row>
    <row r="481" spans="5:5" x14ac:dyDescent="0.35">
      <c r="E481" s="17"/>
    </row>
    <row r="482" spans="5:5" x14ac:dyDescent="0.35">
      <c r="E482" s="17"/>
    </row>
    <row r="483" spans="5:5" x14ac:dyDescent="0.35">
      <c r="E483" s="17"/>
    </row>
    <row r="484" spans="5:5" x14ac:dyDescent="0.35">
      <c r="E484" s="17"/>
    </row>
    <row r="485" spans="5:5" x14ac:dyDescent="0.35">
      <c r="E485" s="17"/>
    </row>
    <row r="486" spans="5:5" x14ac:dyDescent="0.35">
      <c r="E486" s="17"/>
    </row>
    <row r="487" spans="5:5" x14ac:dyDescent="0.35">
      <c r="E487" s="17"/>
    </row>
    <row r="488" spans="5:5" x14ac:dyDescent="0.35">
      <c r="E488" s="17"/>
    </row>
    <row r="489" spans="5:5" x14ac:dyDescent="0.35">
      <c r="E489" s="17"/>
    </row>
    <row r="490" spans="5:5" x14ac:dyDescent="0.35">
      <c r="E490" s="17"/>
    </row>
    <row r="491" spans="5:5" x14ac:dyDescent="0.35">
      <c r="E491" s="17"/>
    </row>
    <row r="492" spans="5:5" x14ac:dyDescent="0.35">
      <c r="E492" s="17"/>
    </row>
    <row r="493" spans="5:5" x14ac:dyDescent="0.35">
      <c r="E493" s="17"/>
    </row>
    <row r="494" spans="5:5" x14ac:dyDescent="0.35">
      <c r="E494" s="17"/>
    </row>
    <row r="495" spans="5:5" x14ac:dyDescent="0.35">
      <c r="E495" s="17"/>
    </row>
    <row r="496" spans="5:5" x14ac:dyDescent="0.35">
      <c r="E496" s="17"/>
    </row>
    <row r="497" spans="5:5" x14ac:dyDescent="0.35">
      <c r="E497" s="17"/>
    </row>
    <row r="498" spans="5:5" x14ac:dyDescent="0.35">
      <c r="E498" s="17"/>
    </row>
    <row r="499" spans="5:5" x14ac:dyDescent="0.35">
      <c r="E499" s="17"/>
    </row>
    <row r="500" spans="5:5" x14ac:dyDescent="0.35">
      <c r="E500" s="17"/>
    </row>
    <row r="501" spans="5:5" x14ac:dyDescent="0.35">
      <c r="E501" s="17"/>
    </row>
    <row r="502" spans="5:5" x14ac:dyDescent="0.35">
      <c r="E502" s="17"/>
    </row>
    <row r="503" spans="5:5" x14ac:dyDescent="0.35">
      <c r="E503" s="17"/>
    </row>
    <row r="504" spans="5:5" x14ac:dyDescent="0.35">
      <c r="E504" s="17"/>
    </row>
    <row r="505" spans="5:5" x14ac:dyDescent="0.35">
      <c r="E505" s="17"/>
    </row>
    <row r="506" spans="5:5" x14ac:dyDescent="0.35">
      <c r="E506" s="17"/>
    </row>
    <row r="507" spans="5:5" x14ac:dyDescent="0.35">
      <c r="E507" s="17"/>
    </row>
    <row r="508" spans="5:5" x14ac:dyDescent="0.35">
      <c r="E508" s="17"/>
    </row>
    <row r="509" spans="5:5" x14ac:dyDescent="0.35">
      <c r="E509" s="17"/>
    </row>
    <row r="510" spans="5:5" x14ac:dyDescent="0.35">
      <c r="E510" s="17"/>
    </row>
    <row r="511" spans="5:5" x14ac:dyDescent="0.35">
      <c r="E511" s="17"/>
    </row>
    <row r="512" spans="5:5" x14ac:dyDescent="0.35">
      <c r="E512" s="17"/>
    </row>
    <row r="513" spans="5:5" x14ac:dyDescent="0.35">
      <c r="E513" s="17"/>
    </row>
    <row r="514" spans="5:5" x14ac:dyDescent="0.35">
      <c r="E514" s="17"/>
    </row>
    <row r="515" spans="5:5" x14ac:dyDescent="0.35">
      <c r="E515" s="17"/>
    </row>
    <row r="516" spans="5:5" x14ac:dyDescent="0.35">
      <c r="E516" s="17"/>
    </row>
    <row r="517" spans="5:5" x14ac:dyDescent="0.35">
      <c r="E517" s="17"/>
    </row>
    <row r="518" spans="5:5" x14ac:dyDescent="0.35">
      <c r="E518" s="17"/>
    </row>
    <row r="519" spans="5:5" x14ac:dyDescent="0.35">
      <c r="E519" s="17"/>
    </row>
    <row r="520" spans="5:5" x14ac:dyDescent="0.35">
      <c r="E520" s="17"/>
    </row>
    <row r="521" spans="5:5" x14ac:dyDescent="0.35">
      <c r="E521" s="17"/>
    </row>
    <row r="522" spans="5:5" x14ac:dyDescent="0.35">
      <c r="E522" s="17"/>
    </row>
    <row r="523" spans="5:5" x14ac:dyDescent="0.35">
      <c r="E523" s="17"/>
    </row>
    <row r="524" spans="5:5" x14ac:dyDescent="0.35">
      <c r="E524" s="17"/>
    </row>
    <row r="525" spans="5:5" x14ac:dyDescent="0.35">
      <c r="E525" s="17"/>
    </row>
    <row r="526" spans="5:5" x14ac:dyDescent="0.35">
      <c r="E526" s="17"/>
    </row>
    <row r="527" spans="5:5" x14ac:dyDescent="0.35">
      <c r="E527" s="17"/>
    </row>
    <row r="528" spans="5:5" x14ac:dyDescent="0.35">
      <c r="E528" s="17"/>
    </row>
    <row r="529" spans="5:5" x14ac:dyDescent="0.35">
      <c r="E529" s="17"/>
    </row>
    <row r="530" spans="5:5" x14ac:dyDescent="0.35">
      <c r="E530" s="17"/>
    </row>
    <row r="531" spans="5:5" x14ac:dyDescent="0.35">
      <c r="E531" s="17"/>
    </row>
    <row r="532" spans="5:5" x14ac:dyDescent="0.35">
      <c r="E532" s="17"/>
    </row>
    <row r="533" spans="5:5" x14ac:dyDescent="0.35">
      <c r="E533" s="17"/>
    </row>
    <row r="534" spans="5:5" x14ac:dyDescent="0.35">
      <c r="E534" s="17"/>
    </row>
    <row r="535" spans="5:5" x14ac:dyDescent="0.35">
      <c r="E535" s="17"/>
    </row>
    <row r="536" spans="5:5" x14ac:dyDescent="0.35">
      <c r="E536" s="17"/>
    </row>
    <row r="537" spans="5:5" x14ac:dyDescent="0.35">
      <c r="E537" s="17"/>
    </row>
    <row r="538" spans="5:5" x14ac:dyDescent="0.35">
      <c r="E538" s="17"/>
    </row>
    <row r="539" spans="5:5" x14ac:dyDescent="0.35">
      <c r="E539" s="17"/>
    </row>
    <row r="540" spans="5:5" x14ac:dyDescent="0.35">
      <c r="E540" s="17"/>
    </row>
    <row r="541" spans="5:5" x14ac:dyDescent="0.35">
      <c r="E541" s="17"/>
    </row>
    <row r="542" spans="5:5" x14ac:dyDescent="0.35">
      <c r="E542" s="17"/>
    </row>
    <row r="543" spans="5:5" x14ac:dyDescent="0.35">
      <c r="E543" s="17"/>
    </row>
    <row r="544" spans="5:5" x14ac:dyDescent="0.35">
      <c r="E544" s="17"/>
    </row>
    <row r="545" spans="5:5" x14ac:dyDescent="0.35">
      <c r="E545" s="17"/>
    </row>
    <row r="546" spans="5:5" x14ac:dyDescent="0.35">
      <c r="E546" s="17"/>
    </row>
    <row r="547" spans="5:5" x14ac:dyDescent="0.35">
      <c r="E547" s="17"/>
    </row>
    <row r="548" spans="5:5" x14ac:dyDescent="0.35">
      <c r="E548" s="17"/>
    </row>
    <row r="549" spans="5:5" x14ac:dyDescent="0.35">
      <c r="E549" s="17"/>
    </row>
    <row r="550" spans="5:5" x14ac:dyDescent="0.35">
      <c r="E550" s="17"/>
    </row>
    <row r="551" spans="5:5" x14ac:dyDescent="0.35">
      <c r="E551" s="17"/>
    </row>
    <row r="552" spans="5:5" x14ac:dyDescent="0.35">
      <c r="E552" s="17"/>
    </row>
    <row r="553" spans="5:5" x14ac:dyDescent="0.35">
      <c r="E553" s="17"/>
    </row>
    <row r="554" spans="5:5" x14ac:dyDescent="0.35">
      <c r="E554" s="17"/>
    </row>
    <row r="555" spans="5:5" x14ac:dyDescent="0.35">
      <c r="E555" s="17"/>
    </row>
    <row r="556" spans="5:5" x14ac:dyDescent="0.35">
      <c r="E556" s="17"/>
    </row>
    <row r="557" spans="5:5" x14ac:dyDescent="0.35">
      <c r="E557" s="17"/>
    </row>
    <row r="558" spans="5:5" x14ac:dyDescent="0.35">
      <c r="E558" s="17"/>
    </row>
    <row r="559" spans="5:5" x14ac:dyDescent="0.35">
      <c r="E559" s="17"/>
    </row>
    <row r="560" spans="5:5" x14ac:dyDescent="0.35">
      <c r="E560" s="17"/>
    </row>
    <row r="561" spans="5:5" x14ac:dyDescent="0.35">
      <c r="E561" s="17"/>
    </row>
    <row r="562" spans="5:5" x14ac:dyDescent="0.35">
      <c r="E562" s="17"/>
    </row>
    <row r="563" spans="5:5" x14ac:dyDescent="0.35">
      <c r="E563" s="17"/>
    </row>
    <row r="564" spans="5:5" x14ac:dyDescent="0.35">
      <c r="E564" s="17"/>
    </row>
    <row r="565" spans="5:5" x14ac:dyDescent="0.35">
      <c r="E565" s="17"/>
    </row>
    <row r="566" spans="5:5" x14ac:dyDescent="0.35">
      <c r="E566" s="17"/>
    </row>
    <row r="567" spans="5:5" x14ac:dyDescent="0.35">
      <c r="E567" s="17"/>
    </row>
    <row r="568" spans="5:5" x14ac:dyDescent="0.35">
      <c r="E568" s="17"/>
    </row>
    <row r="569" spans="5:5" x14ac:dyDescent="0.35">
      <c r="E569" s="17"/>
    </row>
    <row r="570" spans="5:5" x14ac:dyDescent="0.35">
      <c r="E570" s="17"/>
    </row>
    <row r="571" spans="5:5" x14ac:dyDescent="0.35">
      <c r="E571" s="17"/>
    </row>
    <row r="572" spans="5:5" x14ac:dyDescent="0.35">
      <c r="E572" s="17"/>
    </row>
    <row r="573" spans="5:5" x14ac:dyDescent="0.35">
      <c r="E573" s="17"/>
    </row>
    <row r="574" spans="5:5" x14ac:dyDescent="0.35">
      <c r="E574" s="17"/>
    </row>
    <row r="575" spans="5:5" x14ac:dyDescent="0.35">
      <c r="E575" s="17"/>
    </row>
    <row r="576" spans="5:5" x14ac:dyDescent="0.35">
      <c r="E576" s="17"/>
    </row>
    <row r="577" spans="5:5" x14ac:dyDescent="0.35">
      <c r="E577" s="17"/>
    </row>
    <row r="578" spans="5:5" x14ac:dyDescent="0.35">
      <c r="E578" s="17"/>
    </row>
    <row r="579" spans="5:5" x14ac:dyDescent="0.35">
      <c r="E579" s="17"/>
    </row>
    <row r="580" spans="5:5" x14ac:dyDescent="0.35">
      <c r="E580" s="17"/>
    </row>
    <row r="581" spans="5:5" x14ac:dyDescent="0.35">
      <c r="E581" s="17"/>
    </row>
    <row r="582" spans="5:5" x14ac:dyDescent="0.35">
      <c r="E582" s="17"/>
    </row>
    <row r="583" spans="5:5" x14ac:dyDescent="0.35">
      <c r="E583" s="17"/>
    </row>
    <row r="584" spans="5:5" x14ac:dyDescent="0.35">
      <c r="E584" s="17"/>
    </row>
    <row r="585" spans="5:5" x14ac:dyDescent="0.35">
      <c r="E585" s="17"/>
    </row>
    <row r="586" spans="5:5" x14ac:dyDescent="0.35">
      <c r="E586" s="17"/>
    </row>
    <row r="587" spans="5:5" x14ac:dyDescent="0.35">
      <c r="E587" s="17"/>
    </row>
    <row r="588" spans="5:5" x14ac:dyDescent="0.35">
      <c r="E588" s="17"/>
    </row>
    <row r="589" spans="5:5" x14ac:dyDescent="0.35">
      <c r="E589" s="17"/>
    </row>
    <row r="590" spans="5:5" x14ac:dyDescent="0.35">
      <c r="E590" s="17"/>
    </row>
    <row r="591" spans="5:5" x14ac:dyDescent="0.35">
      <c r="E591" s="17"/>
    </row>
    <row r="592" spans="5:5" x14ac:dyDescent="0.35">
      <c r="E592" s="17"/>
    </row>
    <row r="593" spans="5:5" x14ac:dyDescent="0.35">
      <c r="E593" s="17"/>
    </row>
    <row r="594" spans="5:5" x14ac:dyDescent="0.35">
      <c r="E594" s="17"/>
    </row>
    <row r="595" spans="5:5" x14ac:dyDescent="0.35">
      <c r="E595" s="17"/>
    </row>
    <row r="596" spans="5:5" x14ac:dyDescent="0.35">
      <c r="E596" s="17"/>
    </row>
    <row r="597" spans="5:5" x14ac:dyDescent="0.35">
      <c r="E597" s="17"/>
    </row>
    <row r="598" spans="5:5" x14ac:dyDescent="0.35">
      <c r="E598" s="17"/>
    </row>
    <row r="599" spans="5:5" x14ac:dyDescent="0.35">
      <c r="E599" s="17"/>
    </row>
    <row r="600" spans="5:5" x14ac:dyDescent="0.35">
      <c r="E600" s="17"/>
    </row>
    <row r="601" spans="5:5" x14ac:dyDescent="0.35">
      <c r="E601" s="17"/>
    </row>
    <row r="602" spans="5:5" x14ac:dyDescent="0.35">
      <c r="E602" s="17"/>
    </row>
    <row r="603" spans="5:5" x14ac:dyDescent="0.35">
      <c r="E603" s="17"/>
    </row>
    <row r="604" spans="5:5" x14ac:dyDescent="0.35">
      <c r="E604" s="17"/>
    </row>
    <row r="605" spans="5:5" x14ac:dyDescent="0.35">
      <c r="E605" s="17"/>
    </row>
    <row r="606" spans="5:5" x14ac:dyDescent="0.35">
      <c r="E606" s="17"/>
    </row>
    <row r="607" spans="5:5" x14ac:dyDescent="0.35">
      <c r="E607" s="17"/>
    </row>
    <row r="608" spans="5:5" x14ac:dyDescent="0.35">
      <c r="E608" s="17"/>
    </row>
    <row r="609" spans="5:5" x14ac:dyDescent="0.35">
      <c r="E609" s="17"/>
    </row>
    <row r="610" spans="5:5" x14ac:dyDescent="0.35">
      <c r="E610" s="17"/>
    </row>
    <row r="611" spans="5:5" x14ac:dyDescent="0.35">
      <c r="E611" s="17"/>
    </row>
    <row r="612" spans="5:5" x14ac:dyDescent="0.35">
      <c r="E612" s="17"/>
    </row>
    <row r="613" spans="5:5" x14ac:dyDescent="0.35">
      <c r="E613" s="17"/>
    </row>
    <row r="614" spans="5:5" x14ac:dyDescent="0.35">
      <c r="E614" s="17"/>
    </row>
    <row r="615" spans="5:5" x14ac:dyDescent="0.35">
      <c r="E615" s="17"/>
    </row>
    <row r="616" spans="5:5" x14ac:dyDescent="0.35">
      <c r="E616" s="17"/>
    </row>
    <row r="617" spans="5:5" x14ac:dyDescent="0.35">
      <c r="E617" s="17"/>
    </row>
    <row r="618" spans="5:5" x14ac:dyDescent="0.35">
      <c r="E618" s="17"/>
    </row>
    <row r="619" spans="5:5" x14ac:dyDescent="0.35">
      <c r="E619" s="17"/>
    </row>
    <row r="620" spans="5:5" x14ac:dyDescent="0.35">
      <c r="E620" s="17"/>
    </row>
    <row r="621" spans="5:5" x14ac:dyDescent="0.35">
      <c r="E621" s="17"/>
    </row>
    <row r="622" spans="5:5" x14ac:dyDescent="0.35">
      <c r="E622" s="17"/>
    </row>
    <row r="623" spans="5:5" x14ac:dyDescent="0.35">
      <c r="E623" s="17"/>
    </row>
    <row r="624" spans="5:5" x14ac:dyDescent="0.35">
      <c r="E624" s="17"/>
    </row>
    <row r="625" spans="5:5" x14ac:dyDescent="0.35">
      <c r="E625" s="17"/>
    </row>
    <row r="626" spans="5:5" x14ac:dyDescent="0.35">
      <c r="E626" s="17"/>
    </row>
    <row r="627" spans="5:5" x14ac:dyDescent="0.35">
      <c r="E627" s="17"/>
    </row>
    <row r="628" spans="5:5" x14ac:dyDescent="0.35">
      <c r="E628" s="17"/>
    </row>
    <row r="629" spans="5:5" x14ac:dyDescent="0.35">
      <c r="E629" s="17"/>
    </row>
    <row r="630" spans="5:5" x14ac:dyDescent="0.35">
      <c r="E630" s="17"/>
    </row>
    <row r="631" spans="5:5" x14ac:dyDescent="0.35">
      <c r="E631" s="17"/>
    </row>
    <row r="632" spans="5:5" x14ac:dyDescent="0.35">
      <c r="E632" s="17"/>
    </row>
    <row r="633" spans="5:5" x14ac:dyDescent="0.35">
      <c r="E633" s="17"/>
    </row>
    <row r="634" spans="5:5" x14ac:dyDescent="0.35">
      <c r="E634" s="17"/>
    </row>
    <row r="635" spans="5:5" x14ac:dyDescent="0.35">
      <c r="E635" s="17"/>
    </row>
    <row r="636" spans="5:5" x14ac:dyDescent="0.35">
      <c r="E636" s="17"/>
    </row>
    <row r="637" spans="5:5" x14ac:dyDescent="0.35">
      <c r="E637" s="17"/>
    </row>
    <row r="638" spans="5:5" x14ac:dyDescent="0.35">
      <c r="E638" s="17"/>
    </row>
    <row r="639" spans="5:5" x14ac:dyDescent="0.35">
      <c r="E639" s="17"/>
    </row>
    <row r="640" spans="5:5" x14ac:dyDescent="0.35">
      <c r="E640" s="17"/>
    </row>
    <row r="641" spans="5:5" x14ac:dyDescent="0.35">
      <c r="E641" s="17"/>
    </row>
    <row r="642" spans="5:5" x14ac:dyDescent="0.35">
      <c r="E642" s="17"/>
    </row>
    <row r="643" spans="5:5" x14ac:dyDescent="0.35">
      <c r="E643" s="17"/>
    </row>
    <row r="644" spans="5:5" x14ac:dyDescent="0.35">
      <c r="E644" s="17"/>
    </row>
    <row r="645" spans="5:5" x14ac:dyDescent="0.35">
      <c r="E645" s="17"/>
    </row>
    <row r="646" spans="5:5" x14ac:dyDescent="0.35">
      <c r="E646" s="17"/>
    </row>
    <row r="647" spans="5:5" x14ac:dyDescent="0.35">
      <c r="E647" s="17"/>
    </row>
    <row r="648" spans="5:5" x14ac:dyDescent="0.35">
      <c r="E648" s="17"/>
    </row>
    <row r="649" spans="5:5" x14ac:dyDescent="0.35">
      <c r="E649" s="17"/>
    </row>
    <row r="650" spans="5:5" x14ac:dyDescent="0.35">
      <c r="E650" s="17"/>
    </row>
    <row r="651" spans="5:5" x14ac:dyDescent="0.35">
      <c r="E651" s="17"/>
    </row>
    <row r="652" spans="5:5" x14ac:dyDescent="0.35">
      <c r="E652" s="17"/>
    </row>
    <row r="653" spans="5:5" x14ac:dyDescent="0.35">
      <c r="E653" s="17"/>
    </row>
    <row r="654" spans="5:5" x14ac:dyDescent="0.35">
      <c r="E654" s="17"/>
    </row>
    <row r="655" spans="5:5" x14ac:dyDescent="0.35">
      <c r="E655" s="17"/>
    </row>
    <row r="656" spans="5:5" x14ac:dyDescent="0.35">
      <c r="E656" s="17"/>
    </row>
    <row r="657" spans="5:5" x14ac:dyDescent="0.35">
      <c r="E657" s="17"/>
    </row>
    <row r="658" spans="5:5" x14ac:dyDescent="0.35">
      <c r="E658" s="17"/>
    </row>
    <row r="659" spans="5:5" x14ac:dyDescent="0.35">
      <c r="E659" s="17"/>
    </row>
    <row r="660" spans="5:5" x14ac:dyDescent="0.35">
      <c r="E660" s="17"/>
    </row>
    <row r="661" spans="5:5" x14ac:dyDescent="0.35">
      <c r="E661" s="17"/>
    </row>
    <row r="662" spans="5:5" x14ac:dyDescent="0.35">
      <c r="E662" s="17"/>
    </row>
    <row r="663" spans="5:5" x14ac:dyDescent="0.35">
      <c r="E663" s="17"/>
    </row>
    <row r="664" spans="5:5" x14ac:dyDescent="0.35">
      <c r="E664" s="17"/>
    </row>
    <row r="665" spans="5:5" x14ac:dyDescent="0.35">
      <c r="E665" s="17"/>
    </row>
    <row r="666" spans="5:5" x14ac:dyDescent="0.35">
      <c r="E666" s="17"/>
    </row>
    <row r="667" spans="5:5" x14ac:dyDescent="0.35">
      <c r="E667" s="17"/>
    </row>
    <row r="668" spans="5:5" x14ac:dyDescent="0.35">
      <c r="E668" s="17"/>
    </row>
    <row r="669" spans="5:5" x14ac:dyDescent="0.35">
      <c r="E669" s="17"/>
    </row>
    <row r="670" spans="5:5" x14ac:dyDescent="0.35">
      <c r="E670" s="17"/>
    </row>
    <row r="671" spans="5:5" x14ac:dyDescent="0.35">
      <c r="E671" s="17"/>
    </row>
    <row r="672" spans="5:5" x14ac:dyDescent="0.35">
      <c r="E672" s="17"/>
    </row>
    <row r="673" spans="5:5" x14ac:dyDescent="0.35">
      <c r="E673" s="17"/>
    </row>
    <row r="674" spans="5:5" x14ac:dyDescent="0.35">
      <c r="E674" s="17"/>
    </row>
    <row r="675" spans="5:5" x14ac:dyDescent="0.35">
      <c r="E675" s="17"/>
    </row>
    <row r="676" spans="5:5" x14ac:dyDescent="0.35">
      <c r="E676" s="17"/>
    </row>
    <row r="677" spans="5:5" x14ac:dyDescent="0.35">
      <c r="E677" s="17"/>
    </row>
    <row r="678" spans="5:5" x14ac:dyDescent="0.35">
      <c r="E678" s="17"/>
    </row>
    <row r="679" spans="5:5" x14ac:dyDescent="0.35">
      <c r="E679" s="17"/>
    </row>
    <row r="680" spans="5:5" x14ac:dyDescent="0.35">
      <c r="E680" s="17"/>
    </row>
    <row r="681" spans="5:5" x14ac:dyDescent="0.35">
      <c r="E681" s="17"/>
    </row>
    <row r="682" spans="5:5" x14ac:dyDescent="0.35">
      <c r="E682" s="17"/>
    </row>
    <row r="683" spans="5:5" x14ac:dyDescent="0.35">
      <c r="E683" s="17"/>
    </row>
    <row r="684" spans="5:5" x14ac:dyDescent="0.35">
      <c r="E684" s="17"/>
    </row>
    <row r="685" spans="5:5" x14ac:dyDescent="0.35">
      <c r="E685" s="17"/>
    </row>
    <row r="686" spans="5:5" x14ac:dyDescent="0.35">
      <c r="E686" s="17"/>
    </row>
    <row r="687" spans="5:5" x14ac:dyDescent="0.35">
      <c r="E687" s="17"/>
    </row>
    <row r="688" spans="5:5" x14ac:dyDescent="0.35">
      <c r="E688" s="17"/>
    </row>
    <row r="689" spans="5:5" x14ac:dyDescent="0.35">
      <c r="E689" s="17"/>
    </row>
    <row r="690" spans="5:5" x14ac:dyDescent="0.35">
      <c r="E690" s="17"/>
    </row>
    <row r="691" spans="5:5" x14ac:dyDescent="0.35">
      <c r="E691" s="17"/>
    </row>
    <row r="692" spans="5:5" x14ac:dyDescent="0.35">
      <c r="E692" s="17"/>
    </row>
    <row r="693" spans="5:5" x14ac:dyDescent="0.35">
      <c r="E693" s="17"/>
    </row>
    <row r="694" spans="5:5" x14ac:dyDescent="0.35">
      <c r="E694" s="17"/>
    </row>
    <row r="695" spans="5:5" x14ac:dyDescent="0.35">
      <c r="E695" s="17"/>
    </row>
    <row r="696" spans="5:5" x14ac:dyDescent="0.35">
      <c r="E696" s="17"/>
    </row>
    <row r="697" spans="5:5" x14ac:dyDescent="0.35">
      <c r="E697" s="17"/>
    </row>
    <row r="698" spans="5:5" x14ac:dyDescent="0.35">
      <c r="E698" s="17"/>
    </row>
    <row r="699" spans="5:5" x14ac:dyDescent="0.35">
      <c r="E699" s="17"/>
    </row>
    <row r="700" spans="5:5" x14ac:dyDescent="0.35">
      <c r="E700" s="17"/>
    </row>
    <row r="701" spans="5:5" x14ac:dyDescent="0.35">
      <c r="E701" s="17"/>
    </row>
    <row r="702" spans="5:5" x14ac:dyDescent="0.35">
      <c r="E702" s="17"/>
    </row>
    <row r="703" spans="5:5" x14ac:dyDescent="0.35">
      <c r="E703" s="17"/>
    </row>
    <row r="704" spans="5:5" x14ac:dyDescent="0.35">
      <c r="E704" s="17"/>
    </row>
    <row r="705" spans="5:5" x14ac:dyDescent="0.35">
      <c r="E705" s="17"/>
    </row>
    <row r="706" spans="5:5" x14ac:dyDescent="0.35">
      <c r="E706" s="17"/>
    </row>
    <row r="707" spans="5:5" x14ac:dyDescent="0.35">
      <c r="E707" s="17"/>
    </row>
    <row r="708" spans="5:5" x14ac:dyDescent="0.35">
      <c r="E708" s="17"/>
    </row>
    <row r="709" spans="5:5" x14ac:dyDescent="0.35">
      <c r="E709" s="17"/>
    </row>
    <row r="710" spans="5:5" x14ac:dyDescent="0.35">
      <c r="E710" s="17"/>
    </row>
    <row r="711" spans="5:5" x14ac:dyDescent="0.35">
      <c r="E711" s="17"/>
    </row>
    <row r="712" spans="5:5" x14ac:dyDescent="0.35">
      <c r="E712" s="17"/>
    </row>
    <row r="713" spans="5:5" x14ac:dyDescent="0.35">
      <c r="E713" s="17"/>
    </row>
    <row r="714" spans="5:5" x14ac:dyDescent="0.35">
      <c r="E714" s="17"/>
    </row>
    <row r="715" spans="5:5" x14ac:dyDescent="0.35">
      <c r="E715" s="17"/>
    </row>
    <row r="716" spans="5:5" x14ac:dyDescent="0.35">
      <c r="E716" s="17"/>
    </row>
    <row r="717" spans="5:5" x14ac:dyDescent="0.35">
      <c r="E717" s="17"/>
    </row>
    <row r="718" spans="5:5" x14ac:dyDescent="0.35">
      <c r="E718" s="17"/>
    </row>
    <row r="719" spans="5:5" x14ac:dyDescent="0.35">
      <c r="E719" s="17"/>
    </row>
    <row r="720" spans="5:5" x14ac:dyDescent="0.35">
      <c r="E720" s="17"/>
    </row>
    <row r="721" spans="5:5" x14ac:dyDescent="0.35">
      <c r="E721" s="17"/>
    </row>
    <row r="722" spans="5:5" x14ac:dyDescent="0.35">
      <c r="E722" s="17"/>
    </row>
    <row r="723" spans="5:5" x14ac:dyDescent="0.35">
      <c r="E723" s="17"/>
    </row>
    <row r="724" spans="5:5" x14ac:dyDescent="0.35">
      <c r="E724" s="17"/>
    </row>
    <row r="725" spans="5:5" x14ac:dyDescent="0.35">
      <c r="E725" s="17"/>
    </row>
    <row r="726" spans="5:5" x14ac:dyDescent="0.35">
      <c r="E726" s="17"/>
    </row>
    <row r="727" spans="5:5" x14ac:dyDescent="0.35">
      <c r="E727" s="17"/>
    </row>
    <row r="728" spans="5:5" x14ac:dyDescent="0.35">
      <c r="E728" s="17"/>
    </row>
    <row r="729" spans="5:5" x14ac:dyDescent="0.35">
      <c r="E729" s="17"/>
    </row>
    <row r="730" spans="5:5" x14ac:dyDescent="0.35">
      <c r="E730" s="17"/>
    </row>
    <row r="731" spans="5:5" x14ac:dyDescent="0.35">
      <c r="E731" s="17"/>
    </row>
    <row r="732" spans="5:5" x14ac:dyDescent="0.35">
      <c r="E732" s="17"/>
    </row>
    <row r="733" spans="5:5" x14ac:dyDescent="0.35">
      <c r="E733" s="17"/>
    </row>
    <row r="734" spans="5:5" x14ac:dyDescent="0.35">
      <c r="E734" s="17"/>
    </row>
    <row r="735" spans="5:5" x14ac:dyDescent="0.35">
      <c r="E735" s="17"/>
    </row>
    <row r="736" spans="5:5" x14ac:dyDescent="0.35">
      <c r="E736" s="17"/>
    </row>
    <row r="737" spans="5:5" x14ac:dyDescent="0.35">
      <c r="E737" s="17"/>
    </row>
    <row r="738" spans="5:5" x14ac:dyDescent="0.35">
      <c r="E738" s="17"/>
    </row>
    <row r="739" spans="5:5" x14ac:dyDescent="0.35">
      <c r="E739" s="17"/>
    </row>
    <row r="740" spans="5:5" x14ac:dyDescent="0.35">
      <c r="E740" s="17"/>
    </row>
    <row r="741" spans="5:5" x14ac:dyDescent="0.35">
      <c r="E741" s="17"/>
    </row>
    <row r="742" spans="5:5" x14ac:dyDescent="0.35">
      <c r="E742" s="17"/>
    </row>
    <row r="743" spans="5:5" x14ac:dyDescent="0.35">
      <c r="E743" s="17"/>
    </row>
    <row r="744" spans="5:5" x14ac:dyDescent="0.35">
      <c r="E744" s="17"/>
    </row>
    <row r="745" spans="5:5" x14ac:dyDescent="0.35">
      <c r="E745" s="17"/>
    </row>
    <row r="746" spans="5:5" x14ac:dyDescent="0.35">
      <c r="E746" s="17"/>
    </row>
    <row r="747" spans="5:5" x14ac:dyDescent="0.35">
      <c r="E747" s="17"/>
    </row>
    <row r="748" spans="5:5" x14ac:dyDescent="0.35">
      <c r="E748" s="17"/>
    </row>
    <row r="749" spans="5:5" x14ac:dyDescent="0.35">
      <c r="E749" s="17"/>
    </row>
    <row r="750" spans="5:5" x14ac:dyDescent="0.35">
      <c r="E750" s="17"/>
    </row>
    <row r="751" spans="5:5" x14ac:dyDescent="0.35">
      <c r="E751" s="17"/>
    </row>
    <row r="752" spans="5:5" x14ac:dyDescent="0.35">
      <c r="E752" s="17"/>
    </row>
    <row r="753" spans="5:5" x14ac:dyDescent="0.35">
      <c r="E753" s="17"/>
    </row>
    <row r="754" spans="5:5" x14ac:dyDescent="0.35">
      <c r="E754" s="17"/>
    </row>
    <row r="755" spans="5:5" x14ac:dyDescent="0.35">
      <c r="E755" s="17"/>
    </row>
    <row r="756" spans="5:5" x14ac:dyDescent="0.35">
      <c r="E756" s="17"/>
    </row>
    <row r="757" spans="5:5" x14ac:dyDescent="0.35">
      <c r="E757" s="17"/>
    </row>
    <row r="758" spans="5:5" x14ac:dyDescent="0.35">
      <c r="E758" s="17"/>
    </row>
    <row r="759" spans="5:5" x14ac:dyDescent="0.35">
      <c r="E759" s="17"/>
    </row>
    <row r="760" spans="5:5" x14ac:dyDescent="0.35">
      <c r="E760" s="17"/>
    </row>
    <row r="761" spans="5:5" x14ac:dyDescent="0.35">
      <c r="E761" s="17"/>
    </row>
    <row r="762" spans="5:5" x14ac:dyDescent="0.35">
      <c r="E762" s="17"/>
    </row>
    <row r="763" spans="5:5" x14ac:dyDescent="0.35">
      <c r="E763" s="17"/>
    </row>
    <row r="764" spans="5:5" x14ac:dyDescent="0.35">
      <c r="E764" s="17"/>
    </row>
    <row r="765" spans="5:5" x14ac:dyDescent="0.35">
      <c r="E765" s="17"/>
    </row>
    <row r="766" spans="5:5" x14ac:dyDescent="0.35">
      <c r="E766" s="17"/>
    </row>
    <row r="767" spans="5:5" x14ac:dyDescent="0.35">
      <c r="E767" s="17"/>
    </row>
    <row r="768" spans="5:5" x14ac:dyDescent="0.35">
      <c r="E768" s="17"/>
    </row>
    <row r="769" spans="5:5" x14ac:dyDescent="0.35">
      <c r="E769" s="17"/>
    </row>
    <row r="770" spans="5:5" x14ac:dyDescent="0.35">
      <c r="E770" s="17"/>
    </row>
    <row r="771" spans="5:5" x14ac:dyDescent="0.35">
      <c r="E771" s="17"/>
    </row>
    <row r="772" spans="5:5" x14ac:dyDescent="0.35">
      <c r="E772" s="17"/>
    </row>
    <row r="773" spans="5:5" x14ac:dyDescent="0.35">
      <c r="E773" s="17"/>
    </row>
    <row r="774" spans="5:5" x14ac:dyDescent="0.35">
      <c r="E774" s="17"/>
    </row>
    <row r="775" spans="5:5" x14ac:dyDescent="0.35">
      <c r="E775" s="17"/>
    </row>
    <row r="776" spans="5:5" x14ac:dyDescent="0.35">
      <c r="E776" s="17"/>
    </row>
    <row r="777" spans="5:5" x14ac:dyDescent="0.35">
      <c r="E777" s="17"/>
    </row>
    <row r="778" spans="5:5" x14ac:dyDescent="0.35">
      <c r="E778" s="17"/>
    </row>
    <row r="779" spans="5:5" x14ac:dyDescent="0.35">
      <c r="E779" s="17"/>
    </row>
    <row r="780" spans="5:5" x14ac:dyDescent="0.35">
      <c r="E780" s="17"/>
    </row>
    <row r="781" spans="5:5" x14ac:dyDescent="0.35">
      <c r="E781" s="17"/>
    </row>
    <row r="782" spans="5:5" x14ac:dyDescent="0.35">
      <c r="E782" s="17"/>
    </row>
    <row r="783" spans="5:5" x14ac:dyDescent="0.35">
      <c r="E783" s="17"/>
    </row>
    <row r="784" spans="5:5" x14ac:dyDescent="0.35">
      <c r="E784" s="17"/>
    </row>
    <row r="785" spans="5:5" x14ac:dyDescent="0.35">
      <c r="E785" s="17"/>
    </row>
    <row r="786" spans="5:5" x14ac:dyDescent="0.35">
      <c r="E786" s="17"/>
    </row>
    <row r="787" spans="5:5" x14ac:dyDescent="0.35">
      <c r="E787" s="17"/>
    </row>
    <row r="788" spans="5:5" x14ac:dyDescent="0.35">
      <c r="E788" s="17"/>
    </row>
    <row r="789" spans="5:5" x14ac:dyDescent="0.35">
      <c r="E789" s="17"/>
    </row>
    <row r="790" spans="5:5" x14ac:dyDescent="0.35">
      <c r="E790" s="17"/>
    </row>
    <row r="791" spans="5:5" x14ac:dyDescent="0.35">
      <c r="E791" s="17"/>
    </row>
    <row r="792" spans="5:5" x14ac:dyDescent="0.35">
      <c r="E792" s="17"/>
    </row>
    <row r="793" spans="5:5" x14ac:dyDescent="0.35">
      <c r="E793" s="17"/>
    </row>
    <row r="794" spans="5:5" x14ac:dyDescent="0.35">
      <c r="E794" s="17"/>
    </row>
    <row r="795" spans="5:5" x14ac:dyDescent="0.35">
      <c r="E795" s="17"/>
    </row>
    <row r="796" spans="5:5" x14ac:dyDescent="0.35">
      <c r="E796" s="17"/>
    </row>
    <row r="797" spans="5:5" x14ac:dyDescent="0.35">
      <c r="E797" s="17"/>
    </row>
    <row r="798" spans="5:5" x14ac:dyDescent="0.35">
      <c r="E798" s="17"/>
    </row>
    <row r="799" spans="5:5" x14ac:dyDescent="0.35">
      <c r="E799" s="17"/>
    </row>
    <row r="800" spans="5:5" x14ac:dyDescent="0.35">
      <c r="E800" s="17"/>
    </row>
    <row r="801" spans="5:5" x14ac:dyDescent="0.35">
      <c r="E801" s="17"/>
    </row>
    <row r="802" spans="5:5" x14ac:dyDescent="0.35">
      <c r="E802" s="17"/>
    </row>
    <row r="803" spans="5:5" x14ac:dyDescent="0.35">
      <c r="E803" s="17"/>
    </row>
    <row r="804" spans="5:5" x14ac:dyDescent="0.35">
      <c r="E804" s="17"/>
    </row>
    <row r="805" spans="5:5" x14ac:dyDescent="0.35">
      <c r="E805" s="17"/>
    </row>
    <row r="806" spans="5:5" x14ac:dyDescent="0.35">
      <c r="E806" s="17"/>
    </row>
    <row r="807" spans="5:5" x14ac:dyDescent="0.35">
      <c r="E807" s="17"/>
    </row>
    <row r="808" spans="5:5" x14ac:dyDescent="0.35">
      <c r="E808" s="17"/>
    </row>
    <row r="809" spans="5:5" x14ac:dyDescent="0.35">
      <c r="E809" s="17"/>
    </row>
    <row r="810" spans="5:5" x14ac:dyDescent="0.35">
      <c r="E810" s="17"/>
    </row>
    <row r="811" spans="5:5" x14ac:dyDescent="0.35">
      <c r="E811" s="17"/>
    </row>
    <row r="812" spans="5:5" x14ac:dyDescent="0.35">
      <c r="E812" s="17"/>
    </row>
    <row r="813" spans="5:5" x14ac:dyDescent="0.35">
      <c r="E813" s="17"/>
    </row>
    <row r="814" spans="5:5" x14ac:dyDescent="0.35">
      <c r="E814" s="17"/>
    </row>
    <row r="815" spans="5:5" x14ac:dyDescent="0.35">
      <c r="E815" s="17"/>
    </row>
    <row r="816" spans="5:5" x14ac:dyDescent="0.35">
      <c r="E816" s="17"/>
    </row>
    <row r="817" spans="5:5" x14ac:dyDescent="0.35">
      <c r="E817" s="17"/>
    </row>
    <row r="818" spans="5:5" x14ac:dyDescent="0.35">
      <c r="E818" s="17"/>
    </row>
    <row r="819" spans="5:5" x14ac:dyDescent="0.35">
      <c r="E819" s="17"/>
    </row>
    <row r="820" spans="5:5" x14ac:dyDescent="0.35">
      <c r="E820" s="17"/>
    </row>
    <row r="821" spans="5:5" x14ac:dyDescent="0.35">
      <c r="E821" s="17"/>
    </row>
    <row r="822" spans="5:5" x14ac:dyDescent="0.35">
      <c r="E822" s="17"/>
    </row>
    <row r="823" spans="5:5" x14ac:dyDescent="0.35">
      <c r="E823" s="17"/>
    </row>
    <row r="824" spans="5:5" x14ac:dyDescent="0.35">
      <c r="E824" s="17"/>
    </row>
    <row r="825" spans="5:5" x14ac:dyDescent="0.35">
      <c r="E825" s="17"/>
    </row>
    <row r="826" spans="5:5" x14ac:dyDescent="0.35">
      <c r="E826" s="17"/>
    </row>
    <row r="827" spans="5:5" x14ac:dyDescent="0.35">
      <c r="E827" s="17"/>
    </row>
    <row r="828" spans="5:5" x14ac:dyDescent="0.35">
      <c r="E828" s="17"/>
    </row>
    <row r="829" spans="5:5" x14ac:dyDescent="0.35">
      <c r="E829" s="17"/>
    </row>
    <row r="830" spans="5:5" x14ac:dyDescent="0.35">
      <c r="E830" s="17"/>
    </row>
    <row r="831" spans="5:5" x14ac:dyDescent="0.35">
      <c r="E831" s="17"/>
    </row>
    <row r="832" spans="5:5" x14ac:dyDescent="0.35">
      <c r="E832" s="17"/>
    </row>
    <row r="833" spans="5:5" x14ac:dyDescent="0.35">
      <c r="E833" s="17"/>
    </row>
    <row r="834" spans="5:5" x14ac:dyDescent="0.35">
      <c r="E834" s="17"/>
    </row>
    <row r="835" spans="5:5" x14ac:dyDescent="0.35">
      <c r="E835" s="17"/>
    </row>
    <row r="836" spans="5:5" x14ac:dyDescent="0.35">
      <c r="E836" s="17"/>
    </row>
    <row r="837" spans="5:5" x14ac:dyDescent="0.35">
      <c r="E837" s="17"/>
    </row>
    <row r="838" spans="5:5" x14ac:dyDescent="0.35">
      <c r="E838" s="17"/>
    </row>
    <row r="839" spans="5:5" x14ac:dyDescent="0.35">
      <c r="E839" s="17"/>
    </row>
    <row r="840" spans="5:5" x14ac:dyDescent="0.35">
      <c r="E840" s="17"/>
    </row>
    <row r="841" spans="5:5" x14ac:dyDescent="0.35">
      <c r="E841" s="17"/>
    </row>
    <row r="842" spans="5:5" x14ac:dyDescent="0.35">
      <c r="E842" s="17"/>
    </row>
    <row r="843" spans="5:5" x14ac:dyDescent="0.35">
      <c r="E843" s="17"/>
    </row>
    <row r="844" spans="5:5" x14ac:dyDescent="0.35">
      <c r="E844" s="17"/>
    </row>
    <row r="845" spans="5:5" x14ac:dyDescent="0.35">
      <c r="E845" s="17"/>
    </row>
    <row r="846" spans="5:5" x14ac:dyDescent="0.35">
      <c r="E846" s="17"/>
    </row>
    <row r="847" spans="5:5" x14ac:dyDescent="0.35">
      <c r="E847" s="17"/>
    </row>
    <row r="848" spans="5:5" x14ac:dyDescent="0.35">
      <c r="E848" s="17"/>
    </row>
    <row r="849" spans="5:5" x14ac:dyDescent="0.35">
      <c r="E849" s="17"/>
    </row>
    <row r="850" spans="5:5" x14ac:dyDescent="0.35">
      <c r="E850" s="17"/>
    </row>
    <row r="851" spans="5:5" x14ac:dyDescent="0.35">
      <c r="E851" s="17"/>
    </row>
    <row r="852" spans="5:5" x14ac:dyDescent="0.35">
      <c r="E852" s="17"/>
    </row>
    <row r="853" spans="5:5" x14ac:dyDescent="0.35">
      <c r="E853" s="17"/>
    </row>
    <row r="854" spans="5:5" x14ac:dyDescent="0.35">
      <c r="E854" s="17"/>
    </row>
    <row r="855" spans="5:5" x14ac:dyDescent="0.35">
      <c r="E855" s="17"/>
    </row>
    <row r="856" spans="5:5" x14ac:dyDescent="0.35">
      <c r="E856" s="17"/>
    </row>
    <row r="857" spans="5:5" x14ac:dyDescent="0.35">
      <c r="E857" s="17"/>
    </row>
    <row r="858" spans="5:5" x14ac:dyDescent="0.35">
      <c r="E858" s="17"/>
    </row>
    <row r="859" spans="5:5" x14ac:dyDescent="0.35">
      <c r="E859" s="17"/>
    </row>
    <row r="860" spans="5:5" x14ac:dyDescent="0.35">
      <c r="E860" s="17"/>
    </row>
    <row r="861" spans="5:5" x14ac:dyDescent="0.35">
      <c r="E861" s="17"/>
    </row>
    <row r="862" spans="5:5" x14ac:dyDescent="0.35">
      <c r="E862" s="17"/>
    </row>
    <row r="863" spans="5:5" x14ac:dyDescent="0.35">
      <c r="E863" s="17"/>
    </row>
    <row r="864" spans="5:5" x14ac:dyDescent="0.35">
      <c r="E864" s="17"/>
    </row>
    <row r="865" spans="5:5" x14ac:dyDescent="0.35">
      <c r="E865" s="17"/>
    </row>
    <row r="866" spans="5:5" x14ac:dyDescent="0.35">
      <c r="E866" s="17"/>
    </row>
    <row r="867" spans="5:5" x14ac:dyDescent="0.35">
      <c r="E867" s="17"/>
    </row>
    <row r="868" spans="5:5" x14ac:dyDescent="0.35">
      <c r="E868" s="17"/>
    </row>
    <row r="869" spans="5:5" x14ac:dyDescent="0.35">
      <c r="E869" s="17"/>
    </row>
    <row r="870" spans="5:5" x14ac:dyDescent="0.35">
      <c r="E870" s="17"/>
    </row>
    <row r="871" spans="5:5" x14ac:dyDescent="0.35">
      <c r="E871" s="17"/>
    </row>
    <row r="872" spans="5:5" x14ac:dyDescent="0.35">
      <c r="E872" s="17"/>
    </row>
    <row r="873" spans="5:5" x14ac:dyDescent="0.35">
      <c r="E873" s="17"/>
    </row>
    <row r="874" spans="5:5" x14ac:dyDescent="0.35">
      <c r="E874" s="17"/>
    </row>
    <row r="875" spans="5:5" x14ac:dyDescent="0.35">
      <c r="E875" s="17"/>
    </row>
    <row r="876" spans="5:5" x14ac:dyDescent="0.35">
      <c r="E876" s="17"/>
    </row>
    <row r="877" spans="5:5" x14ac:dyDescent="0.35">
      <c r="E877" s="17"/>
    </row>
    <row r="878" spans="5:5" x14ac:dyDescent="0.35">
      <c r="E878" s="17"/>
    </row>
    <row r="879" spans="5:5" x14ac:dyDescent="0.35">
      <c r="E879" s="17"/>
    </row>
    <row r="880" spans="5:5" x14ac:dyDescent="0.35">
      <c r="E880" s="17"/>
    </row>
    <row r="881" spans="5:5" x14ac:dyDescent="0.35">
      <c r="E881" s="17"/>
    </row>
    <row r="882" spans="5:5" x14ac:dyDescent="0.35">
      <c r="E882" s="17"/>
    </row>
    <row r="883" spans="5:5" x14ac:dyDescent="0.35">
      <c r="E883" s="17"/>
    </row>
    <row r="884" spans="5:5" x14ac:dyDescent="0.35">
      <c r="E884" s="17"/>
    </row>
    <row r="885" spans="5:5" x14ac:dyDescent="0.35">
      <c r="E885" s="17"/>
    </row>
    <row r="886" spans="5:5" x14ac:dyDescent="0.35">
      <c r="E886" s="17"/>
    </row>
    <row r="887" spans="5:5" x14ac:dyDescent="0.35">
      <c r="E887" s="17"/>
    </row>
    <row r="888" spans="5:5" x14ac:dyDescent="0.35">
      <c r="E888" s="17"/>
    </row>
    <row r="889" spans="5:5" x14ac:dyDescent="0.35">
      <c r="E889" s="17"/>
    </row>
    <row r="890" spans="5:5" x14ac:dyDescent="0.35">
      <c r="E890" s="17"/>
    </row>
    <row r="891" spans="5:5" x14ac:dyDescent="0.35">
      <c r="E891" s="17"/>
    </row>
    <row r="892" spans="5:5" x14ac:dyDescent="0.35">
      <c r="E892" s="17"/>
    </row>
    <row r="893" spans="5:5" x14ac:dyDescent="0.35">
      <c r="E893" s="17"/>
    </row>
    <row r="894" spans="5:5" x14ac:dyDescent="0.35">
      <c r="E894" s="17"/>
    </row>
    <row r="895" spans="5:5" x14ac:dyDescent="0.35">
      <c r="E895" s="17"/>
    </row>
    <row r="896" spans="5:5" x14ac:dyDescent="0.35">
      <c r="E896" s="17"/>
    </row>
    <row r="897" spans="5:5" x14ac:dyDescent="0.35">
      <c r="E897" s="17"/>
    </row>
    <row r="898" spans="5:5" x14ac:dyDescent="0.35">
      <c r="E898" s="17"/>
    </row>
    <row r="899" spans="5:5" x14ac:dyDescent="0.35">
      <c r="E899" s="17"/>
    </row>
    <row r="900" spans="5:5" x14ac:dyDescent="0.35">
      <c r="E900" s="17"/>
    </row>
    <row r="901" spans="5:5" x14ac:dyDescent="0.35">
      <c r="E901" s="17"/>
    </row>
    <row r="902" spans="5:5" x14ac:dyDescent="0.35">
      <c r="E902" s="17"/>
    </row>
    <row r="903" spans="5:5" x14ac:dyDescent="0.35">
      <c r="E903" s="17"/>
    </row>
    <row r="904" spans="5:5" x14ac:dyDescent="0.35">
      <c r="E904" s="17"/>
    </row>
    <row r="905" spans="5:5" x14ac:dyDescent="0.35">
      <c r="E905" s="17"/>
    </row>
    <row r="906" spans="5:5" x14ac:dyDescent="0.35">
      <c r="E906" s="17"/>
    </row>
    <row r="907" spans="5:5" x14ac:dyDescent="0.35">
      <c r="E907" s="17"/>
    </row>
    <row r="908" spans="5:5" x14ac:dyDescent="0.35">
      <c r="E908" s="17"/>
    </row>
    <row r="909" spans="5:5" x14ac:dyDescent="0.35">
      <c r="E909" s="17"/>
    </row>
    <row r="910" spans="5:5" x14ac:dyDescent="0.35">
      <c r="E910" s="17"/>
    </row>
    <row r="911" spans="5:5" x14ac:dyDescent="0.35">
      <c r="E911" s="17"/>
    </row>
    <row r="912" spans="5:5" x14ac:dyDescent="0.35">
      <c r="E912" s="17"/>
    </row>
    <row r="913" spans="5:5" x14ac:dyDescent="0.35">
      <c r="E913" s="17"/>
    </row>
    <row r="914" spans="5:5" x14ac:dyDescent="0.35">
      <c r="E914" s="17"/>
    </row>
    <row r="915" spans="5:5" x14ac:dyDescent="0.35">
      <c r="E915" s="17"/>
    </row>
    <row r="916" spans="5:5" x14ac:dyDescent="0.35">
      <c r="E916" s="17"/>
    </row>
    <row r="917" spans="5:5" x14ac:dyDescent="0.35">
      <c r="E917" s="17"/>
    </row>
    <row r="918" spans="5:5" x14ac:dyDescent="0.35">
      <c r="E918" s="17"/>
    </row>
    <row r="919" spans="5:5" x14ac:dyDescent="0.35">
      <c r="E919" s="17"/>
    </row>
    <row r="920" spans="5:5" x14ac:dyDescent="0.35">
      <c r="E920" s="17"/>
    </row>
    <row r="921" spans="5:5" x14ac:dyDescent="0.35">
      <c r="E921" s="17"/>
    </row>
    <row r="922" spans="5:5" x14ac:dyDescent="0.35">
      <c r="E922" s="17"/>
    </row>
    <row r="923" spans="5:5" x14ac:dyDescent="0.35">
      <c r="E923" s="17"/>
    </row>
    <row r="924" spans="5:5" x14ac:dyDescent="0.35">
      <c r="E924" s="17"/>
    </row>
    <row r="925" spans="5:5" x14ac:dyDescent="0.35">
      <c r="E925" s="17"/>
    </row>
    <row r="926" spans="5:5" x14ac:dyDescent="0.35">
      <c r="E926" s="17"/>
    </row>
    <row r="927" spans="5:5" x14ac:dyDescent="0.35">
      <c r="E927" s="17"/>
    </row>
    <row r="928" spans="5:5" x14ac:dyDescent="0.35">
      <c r="E928" s="17"/>
    </row>
    <row r="929" spans="5:5" x14ac:dyDescent="0.35">
      <c r="E929" s="17"/>
    </row>
    <row r="930" spans="5:5" x14ac:dyDescent="0.35">
      <c r="E930" s="17"/>
    </row>
    <row r="931" spans="5:5" x14ac:dyDescent="0.35">
      <c r="E931" s="17"/>
    </row>
    <row r="932" spans="5:5" x14ac:dyDescent="0.35">
      <c r="E932" s="17"/>
    </row>
    <row r="933" spans="5:5" x14ac:dyDescent="0.35">
      <c r="E933" s="17"/>
    </row>
    <row r="934" spans="5:5" x14ac:dyDescent="0.35">
      <c r="E934" s="17"/>
    </row>
    <row r="935" spans="5:5" x14ac:dyDescent="0.35">
      <c r="E935" s="17"/>
    </row>
    <row r="936" spans="5:5" x14ac:dyDescent="0.35">
      <c r="E936" s="17"/>
    </row>
    <row r="937" spans="5:5" x14ac:dyDescent="0.35">
      <c r="E937" s="17"/>
    </row>
    <row r="938" spans="5:5" x14ac:dyDescent="0.35">
      <c r="E938" s="17"/>
    </row>
    <row r="939" spans="5:5" x14ac:dyDescent="0.35">
      <c r="E939" s="17"/>
    </row>
    <row r="940" spans="5:5" x14ac:dyDescent="0.35">
      <c r="E940" s="17"/>
    </row>
    <row r="941" spans="5:5" x14ac:dyDescent="0.35">
      <c r="E941" s="17"/>
    </row>
    <row r="942" spans="5:5" x14ac:dyDescent="0.35">
      <c r="E942" s="17"/>
    </row>
    <row r="943" spans="5:5" x14ac:dyDescent="0.35">
      <c r="E943" s="17"/>
    </row>
    <row r="944" spans="5:5" x14ac:dyDescent="0.35">
      <c r="E944" s="17"/>
    </row>
    <row r="945" spans="5:5" x14ac:dyDescent="0.35">
      <c r="E945" s="17"/>
    </row>
    <row r="946" spans="5:5" x14ac:dyDescent="0.35">
      <c r="E946" s="17"/>
    </row>
    <row r="947" spans="5:5" x14ac:dyDescent="0.35">
      <c r="E947" s="17"/>
    </row>
    <row r="948" spans="5:5" x14ac:dyDescent="0.35">
      <c r="E948" s="17"/>
    </row>
    <row r="949" spans="5:5" x14ac:dyDescent="0.35">
      <c r="E949" s="17"/>
    </row>
    <row r="950" spans="5:5" x14ac:dyDescent="0.35">
      <c r="E950" s="17"/>
    </row>
    <row r="951" spans="5:5" x14ac:dyDescent="0.35">
      <c r="E951" s="17"/>
    </row>
    <row r="952" spans="5:5" x14ac:dyDescent="0.35">
      <c r="E952" s="17"/>
    </row>
    <row r="953" spans="5:5" x14ac:dyDescent="0.35">
      <c r="E953" s="17"/>
    </row>
    <row r="954" spans="5:5" x14ac:dyDescent="0.35">
      <c r="E954" s="17"/>
    </row>
    <row r="955" spans="5:5" x14ac:dyDescent="0.35">
      <c r="E955" s="17"/>
    </row>
    <row r="956" spans="5:5" x14ac:dyDescent="0.35">
      <c r="E956" s="17"/>
    </row>
    <row r="957" spans="5:5" x14ac:dyDescent="0.35">
      <c r="E957" s="17"/>
    </row>
    <row r="958" spans="5:5" x14ac:dyDescent="0.35">
      <c r="E958" s="17"/>
    </row>
    <row r="959" spans="5:5" x14ac:dyDescent="0.35">
      <c r="E959" s="17"/>
    </row>
    <row r="960" spans="5:5" x14ac:dyDescent="0.35">
      <c r="E960" s="17"/>
    </row>
    <row r="961" spans="5:5" x14ac:dyDescent="0.35">
      <c r="E961" s="17"/>
    </row>
    <row r="962" spans="5:5" x14ac:dyDescent="0.35">
      <c r="E962" s="17"/>
    </row>
    <row r="963" spans="5:5" x14ac:dyDescent="0.35">
      <c r="E963" s="17"/>
    </row>
    <row r="964" spans="5:5" x14ac:dyDescent="0.35">
      <c r="E964" s="17"/>
    </row>
    <row r="965" spans="5:5" x14ac:dyDescent="0.35">
      <c r="E965" s="17"/>
    </row>
    <row r="966" spans="5:5" x14ac:dyDescent="0.35">
      <c r="E966" s="17"/>
    </row>
    <row r="967" spans="5:5" x14ac:dyDescent="0.35">
      <c r="E967" s="17"/>
    </row>
    <row r="968" spans="5:5" x14ac:dyDescent="0.35">
      <c r="E968" s="17"/>
    </row>
    <row r="969" spans="5:5" x14ac:dyDescent="0.35">
      <c r="E969" s="17"/>
    </row>
    <row r="970" spans="5:5" x14ac:dyDescent="0.35">
      <c r="E970" s="17"/>
    </row>
    <row r="971" spans="5:5" x14ac:dyDescent="0.35">
      <c r="E971" s="17"/>
    </row>
    <row r="972" spans="5:5" x14ac:dyDescent="0.35">
      <c r="E972" s="17"/>
    </row>
    <row r="973" spans="5:5" x14ac:dyDescent="0.35">
      <c r="E973" s="17"/>
    </row>
    <row r="974" spans="5:5" x14ac:dyDescent="0.35">
      <c r="E974" s="17"/>
    </row>
    <row r="975" spans="5:5" x14ac:dyDescent="0.35">
      <c r="E975" s="17"/>
    </row>
    <row r="976" spans="5:5" x14ac:dyDescent="0.35">
      <c r="E976" s="17"/>
    </row>
    <row r="977" spans="5:5" x14ac:dyDescent="0.35">
      <c r="E977" s="17"/>
    </row>
    <row r="978" spans="5:5" x14ac:dyDescent="0.35">
      <c r="E978" s="17"/>
    </row>
    <row r="979" spans="5:5" x14ac:dyDescent="0.35">
      <c r="E979" s="17"/>
    </row>
    <row r="980" spans="5:5" x14ac:dyDescent="0.35">
      <c r="E980" s="17"/>
    </row>
    <row r="981" spans="5:5" x14ac:dyDescent="0.35">
      <c r="E981" s="17"/>
    </row>
    <row r="982" spans="5:5" x14ac:dyDescent="0.35">
      <c r="E982" s="17"/>
    </row>
    <row r="983" spans="5:5" x14ac:dyDescent="0.35">
      <c r="E983" s="17"/>
    </row>
    <row r="984" spans="5:5" x14ac:dyDescent="0.35">
      <c r="E984" s="17"/>
    </row>
    <row r="985" spans="5:5" x14ac:dyDescent="0.35">
      <c r="E985" s="17"/>
    </row>
    <row r="986" spans="5:5" x14ac:dyDescent="0.35">
      <c r="E986" s="17"/>
    </row>
    <row r="987" spans="5:5" x14ac:dyDescent="0.35">
      <c r="E987" s="17"/>
    </row>
    <row r="988" spans="5:5" x14ac:dyDescent="0.35">
      <c r="E988" s="17"/>
    </row>
    <row r="989" spans="5:5" x14ac:dyDescent="0.35">
      <c r="E989" s="17"/>
    </row>
    <row r="990" spans="5:5" x14ac:dyDescent="0.35">
      <c r="E990" s="17"/>
    </row>
    <row r="991" spans="5:5" x14ac:dyDescent="0.35">
      <c r="E991" s="17"/>
    </row>
    <row r="992" spans="5:5" x14ac:dyDescent="0.35">
      <c r="E992" s="17"/>
    </row>
    <row r="993" spans="5:20" x14ac:dyDescent="0.35">
      <c r="E993" s="17"/>
    </row>
    <row r="994" spans="5:20" x14ac:dyDescent="0.35">
      <c r="E994" s="17"/>
    </row>
    <row r="995" spans="5:20" x14ac:dyDescent="0.35">
      <c r="E995" s="17"/>
    </row>
    <row r="996" spans="5:20" x14ac:dyDescent="0.35">
      <c r="E996" s="17"/>
    </row>
    <row r="997" spans="5:20" x14ac:dyDescent="0.35">
      <c r="E997" s="17"/>
    </row>
    <row r="998" spans="5:20" x14ac:dyDescent="0.35">
      <c r="E998" s="17"/>
    </row>
    <row r="999" spans="5:20" ht="22.5" customHeight="1" x14ac:dyDescent="0.35">
      <c r="E999" s="17"/>
    </row>
    <row r="1000" spans="5:20" x14ac:dyDescent="0.35">
      <c r="E1000" s="17"/>
      <c r="N1000" s="20"/>
      <c r="T1000" s="64"/>
    </row>
    <row r="1001" spans="5:20" x14ac:dyDescent="0.35">
      <c r="T1001" s="64"/>
    </row>
  </sheetData>
  <autoFilter ref="D1:D999" xr:uid="{00000000-0001-0000-0000-000000000000}"/>
  <mergeCells count="3">
    <mergeCell ref="B17:B22"/>
    <mergeCell ref="B15:B16"/>
    <mergeCell ref="Y15:Y16"/>
  </mergeCells>
  <hyperlinks>
    <hyperlink ref="Y2" r:id="rId1" xr:uid="{E4058349-D434-42BE-B518-80F903CAC832}"/>
  </hyperlinks>
  <pageMargins left="0.7" right="0.7" top="0.75" bottom="0.75" header="0.3" footer="0.3"/>
  <pageSetup orientation="portrait" horizontalDpi="1200" verticalDpi="1200" r:id="rId2"/>
  <extLst>
    <ext xmlns:x14="http://schemas.microsoft.com/office/spreadsheetml/2009/9/main" uri="{CCE6A557-97BC-4b89-ADB6-D9C93CAAB3DF}">
      <x14:dataValidations xmlns:xm="http://schemas.microsoft.com/office/excel/2006/main" count="4">
        <x14:dataValidation type="list" allowBlank="1" xr:uid="{00000000-0002-0000-0000-000000000000}">
          <x14:formula1>
            <xm:f>Lists!$A$2:$A$9</xm:f>
          </x14:formula1>
          <xm:sqref>D2:D500</xm:sqref>
        </x14:dataValidation>
        <x14:dataValidation type="list" allowBlank="1" xr:uid="{00000000-0002-0000-0000-000002000000}">
          <x14:formula1>
            <xm:f>Lists!$E$2:$E$4</xm:f>
          </x14:formula1>
          <xm:sqref>K79:K500 F2:J500</xm:sqref>
        </x14:dataValidation>
        <x14:dataValidation type="list" allowBlank="1" xr:uid="{00000000-0002-0000-0000-000001000000}">
          <x14:formula1>
            <xm:f>Lists!$C$2:$C$18</xm:f>
          </x14:formula1>
          <xm:sqref>E2:E74 E76:E500</xm:sqref>
        </x14:dataValidation>
        <x14:dataValidation type="list" allowBlank="1" xr:uid="{71F1DAED-84BF-4C3D-A2C2-C2BB43085D93}">
          <x14:formula1>
            <xm:f>Lists!$C$2:$C$19</xm:f>
          </x14:formula1>
          <xm:sqref>E75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
  <sheetViews>
    <sheetView topLeftCell="A6" workbookViewId="0">
      <selection activeCell="A16" sqref="A16"/>
    </sheetView>
  </sheetViews>
  <sheetFormatPr defaultRowHeight="14.5" x14ac:dyDescent="0.35"/>
  <cols>
    <col min="1" max="1" width="41.90625" customWidth="1"/>
    <col min="2" max="2" width="16.1796875" customWidth="1"/>
    <col min="3" max="3" width="20.08984375" customWidth="1"/>
    <col min="4" max="4" width="18.1796875" customWidth="1"/>
    <col min="5" max="5" width="18.08984375" customWidth="1"/>
    <col min="6" max="6" width="17" customWidth="1"/>
    <col min="7" max="7" width="18.81640625" customWidth="1"/>
  </cols>
  <sheetData>
    <row r="1" spans="1:22" s="3" customFormat="1" ht="25.5" customHeight="1" x14ac:dyDescent="0.45">
      <c r="A1" s="2" t="s">
        <v>162</v>
      </c>
      <c r="B1" s="2" t="s">
        <v>163</v>
      </c>
      <c r="C1" s="2" t="s">
        <v>164</v>
      </c>
      <c r="D1" s="2" t="s">
        <v>165</v>
      </c>
      <c r="E1" s="2" t="s">
        <v>166</v>
      </c>
      <c r="F1" s="2" t="s">
        <v>167</v>
      </c>
      <c r="G1" s="3" t="s">
        <v>302</v>
      </c>
    </row>
    <row r="2" spans="1:22" ht="27" customHeight="1" x14ac:dyDescent="0.35">
      <c r="A2" s="4" t="s">
        <v>297</v>
      </c>
      <c r="B2" s="37"/>
      <c r="C2" s="37"/>
      <c r="D2" s="37"/>
      <c r="E2" s="14"/>
      <c r="F2" s="14"/>
      <c r="G2" s="4"/>
      <c r="H2" s="4"/>
      <c r="I2" s="4"/>
      <c r="J2" s="4"/>
      <c r="K2" s="4"/>
      <c r="L2" s="4"/>
      <c r="M2" s="4"/>
      <c r="N2" s="4"/>
      <c r="O2" s="4"/>
      <c r="P2" s="4"/>
      <c r="Q2" s="4"/>
      <c r="R2" s="4"/>
      <c r="S2" s="4"/>
      <c r="T2" s="4"/>
      <c r="U2" s="4"/>
      <c r="V2" s="4"/>
    </row>
    <row r="3" spans="1:22" ht="19" customHeight="1" x14ac:dyDescent="0.35">
      <c r="A3" s="4" t="s">
        <v>296</v>
      </c>
      <c r="B3" s="37"/>
      <c r="C3" s="37"/>
      <c r="D3" s="37"/>
      <c r="E3" s="14"/>
      <c r="F3" s="14"/>
      <c r="G3" s="4"/>
      <c r="H3" s="4"/>
      <c r="I3" s="4"/>
      <c r="J3" s="4"/>
      <c r="K3" s="4"/>
      <c r="L3" s="4"/>
      <c r="M3" s="4"/>
      <c r="N3" s="4"/>
      <c r="O3" s="4"/>
      <c r="P3" s="4"/>
      <c r="Q3" s="4"/>
      <c r="R3" s="4"/>
      <c r="S3" s="4"/>
      <c r="T3" s="4"/>
      <c r="U3" s="4"/>
      <c r="V3" s="4"/>
    </row>
    <row r="4" spans="1:22" ht="29" x14ac:dyDescent="0.35">
      <c r="A4" s="4" t="s">
        <v>300</v>
      </c>
      <c r="B4" s="37"/>
      <c r="C4" s="37"/>
      <c r="D4" s="37"/>
      <c r="E4" s="14"/>
      <c r="F4" s="14"/>
      <c r="G4" s="4"/>
      <c r="H4" s="4"/>
      <c r="I4" s="4"/>
      <c r="J4" s="4"/>
      <c r="K4" s="4"/>
      <c r="L4" s="4"/>
      <c r="M4" s="4"/>
      <c r="N4" s="4"/>
      <c r="O4" s="4"/>
      <c r="P4" s="4"/>
      <c r="Q4" s="4"/>
      <c r="R4" s="4"/>
      <c r="S4" s="4"/>
      <c r="T4" s="4"/>
      <c r="U4" s="4"/>
      <c r="V4" s="4"/>
    </row>
    <row r="5" spans="1:22" ht="29" x14ac:dyDescent="0.35">
      <c r="A5" s="4" t="s">
        <v>299</v>
      </c>
      <c r="B5" s="37"/>
      <c r="C5" s="37"/>
      <c r="D5" s="37"/>
      <c r="E5" s="14"/>
      <c r="F5" s="14"/>
      <c r="G5" s="39" t="s">
        <v>307</v>
      </c>
      <c r="H5" s="4"/>
      <c r="I5" s="4"/>
      <c r="J5" s="4"/>
      <c r="K5" s="4"/>
      <c r="L5" s="4"/>
      <c r="M5" s="4"/>
      <c r="N5" s="4"/>
      <c r="O5" s="4"/>
      <c r="P5" s="4"/>
      <c r="Q5" s="4"/>
      <c r="R5" s="4"/>
      <c r="S5" s="4"/>
      <c r="T5" s="4"/>
      <c r="U5" s="4"/>
      <c r="V5" s="4"/>
    </row>
    <row r="6" spans="1:22" ht="58" x14ac:dyDescent="0.35">
      <c r="A6" s="4" t="s">
        <v>16</v>
      </c>
      <c r="B6" s="37">
        <v>190052422</v>
      </c>
      <c r="C6" s="37">
        <v>95026211</v>
      </c>
      <c r="D6" s="37">
        <v>95026211</v>
      </c>
      <c r="E6" s="13">
        <f>C6/B6</f>
        <v>0.5</v>
      </c>
      <c r="F6" s="13">
        <f>D6/B6</f>
        <v>0.5</v>
      </c>
      <c r="G6" s="39" t="s">
        <v>304</v>
      </c>
      <c r="H6" s="4"/>
      <c r="I6" s="4"/>
      <c r="J6" s="4"/>
      <c r="K6" s="4"/>
      <c r="L6" s="4"/>
      <c r="M6" s="4"/>
      <c r="N6" s="4"/>
      <c r="O6" s="4"/>
      <c r="P6" s="4"/>
      <c r="Q6" s="4"/>
      <c r="R6" s="4"/>
      <c r="S6" s="4"/>
      <c r="T6" s="4"/>
      <c r="U6" s="4"/>
      <c r="V6" s="4"/>
    </row>
    <row r="7" spans="1:22" x14ac:dyDescent="0.35">
      <c r="A7" t="s">
        <v>30</v>
      </c>
      <c r="G7" s="4"/>
      <c r="H7" s="4"/>
      <c r="I7" s="4"/>
      <c r="J7" s="4"/>
      <c r="K7" s="4"/>
      <c r="L7" s="4"/>
      <c r="M7" s="4"/>
      <c r="N7" s="4"/>
      <c r="O7" s="4"/>
      <c r="P7" s="4"/>
      <c r="Q7" s="4"/>
      <c r="R7" s="4"/>
      <c r="S7" s="4"/>
      <c r="T7" s="4"/>
      <c r="U7" s="4"/>
      <c r="V7" s="4"/>
    </row>
    <row r="8" spans="1:22" ht="43.5" x14ac:dyDescent="0.35">
      <c r="A8" t="s">
        <v>24</v>
      </c>
      <c r="B8" s="37"/>
      <c r="C8" s="37"/>
      <c r="D8" s="37"/>
      <c r="E8" s="14"/>
      <c r="F8" s="14"/>
      <c r="G8" s="39" t="s">
        <v>306</v>
      </c>
      <c r="H8" s="4"/>
      <c r="I8" s="4"/>
      <c r="J8" s="4"/>
      <c r="K8" s="4"/>
      <c r="L8" s="4"/>
      <c r="M8" s="4"/>
      <c r="N8" s="4"/>
      <c r="O8" s="4"/>
      <c r="P8" s="4"/>
      <c r="Q8" s="4"/>
      <c r="R8" s="4"/>
      <c r="S8" s="4"/>
      <c r="T8" s="4"/>
      <c r="U8" s="4"/>
      <c r="V8" s="4"/>
    </row>
    <row r="9" spans="1:22" ht="43.5" x14ac:dyDescent="0.35">
      <c r="A9" s="4" t="s">
        <v>303</v>
      </c>
      <c r="B9" s="37">
        <v>426052902</v>
      </c>
      <c r="C9" s="37">
        <v>362156013</v>
      </c>
      <c r="D9" s="37">
        <v>63909889</v>
      </c>
      <c r="E9" s="13">
        <f>C9/B9</f>
        <v>0.85002592706198721</v>
      </c>
      <c r="F9" s="13">
        <f>D9/B9</f>
        <v>0.15000458558078311</v>
      </c>
      <c r="G9" s="39" t="s">
        <v>305</v>
      </c>
      <c r="H9" s="4"/>
      <c r="I9" s="4"/>
      <c r="J9" s="4"/>
      <c r="K9" s="4"/>
      <c r="L9" s="4"/>
      <c r="M9" s="4"/>
      <c r="N9" s="4"/>
      <c r="O9" s="4"/>
      <c r="P9" s="4"/>
      <c r="Q9" s="4"/>
      <c r="R9" s="4"/>
      <c r="S9" s="4"/>
      <c r="T9" s="4"/>
      <c r="U9" s="4"/>
      <c r="V9" s="4"/>
    </row>
    <row r="10" spans="1:22" ht="58" x14ac:dyDescent="0.35">
      <c r="A10" s="4" t="s">
        <v>310</v>
      </c>
      <c r="B10" s="37">
        <v>5880192246</v>
      </c>
      <c r="C10" s="37">
        <v>4718291793</v>
      </c>
      <c r="D10" s="37">
        <v>1161900453</v>
      </c>
      <c r="E10" s="13">
        <f>C10/B10</f>
        <v>0.80240434251271586</v>
      </c>
      <c r="F10" s="13">
        <f>D10/B10</f>
        <v>0.19759565748728414</v>
      </c>
      <c r="G10" s="39" t="s">
        <v>309</v>
      </c>
      <c r="H10" s="4"/>
      <c r="I10" s="4"/>
      <c r="J10" s="4"/>
      <c r="K10" s="4"/>
      <c r="L10" s="4"/>
      <c r="M10" s="4"/>
      <c r="N10" s="4"/>
      <c r="O10" s="4"/>
      <c r="P10" s="4"/>
      <c r="Q10" s="4"/>
      <c r="R10" s="4"/>
      <c r="S10" s="4"/>
      <c r="T10" s="4"/>
      <c r="U10" s="4"/>
      <c r="V10" s="4"/>
    </row>
    <row r="11" spans="1:22" x14ac:dyDescent="0.35">
      <c r="A11" s="4" t="s">
        <v>311</v>
      </c>
      <c r="B11" t="s">
        <v>312</v>
      </c>
      <c r="J11" s="4"/>
      <c r="K11" s="4"/>
      <c r="L11" s="4"/>
      <c r="M11" s="4"/>
      <c r="N11" s="4"/>
      <c r="O11" s="4"/>
      <c r="P11" s="4"/>
      <c r="Q11" s="4"/>
      <c r="R11" s="4"/>
      <c r="S11" s="4"/>
      <c r="T11" s="4"/>
      <c r="U11" s="4"/>
      <c r="V11" s="4"/>
    </row>
    <row r="12" spans="1:22" ht="58" x14ac:dyDescent="0.35">
      <c r="A12" t="s">
        <v>295</v>
      </c>
      <c r="B12" s="37">
        <v>382000000</v>
      </c>
      <c r="C12" s="37">
        <v>310000000</v>
      </c>
      <c r="D12" s="37"/>
      <c r="E12" s="13">
        <f>C12/B12</f>
        <v>0.81151832460732987</v>
      </c>
      <c r="F12" s="13">
        <f>D12/B12</f>
        <v>0</v>
      </c>
      <c r="G12" s="39" t="s">
        <v>308</v>
      </c>
      <c r="H12" s="4"/>
      <c r="I12" s="4"/>
      <c r="J12" s="4"/>
      <c r="K12" s="4"/>
      <c r="L12" s="4"/>
      <c r="M12" s="4"/>
      <c r="N12" s="4"/>
      <c r="O12" s="4"/>
      <c r="P12" s="4"/>
      <c r="Q12" s="4"/>
      <c r="R12" s="4"/>
      <c r="S12" s="4"/>
      <c r="T12" s="4"/>
      <c r="U12" s="4"/>
      <c r="V12" s="4"/>
    </row>
    <row r="13" spans="1:22" x14ac:dyDescent="0.35">
      <c r="A13" s="4" t="s">
        <v>27</v>
      </c>
      <c r="B13" s="37"/>
      <c r="C13" s="37"/>
      <c r="D13" s="37"/>
      <c r="E13" s="14"/>
      <c r="F13" s="14"/>
      <c r="G13" s="4"/>
      <c r="H13" s="4"/>
      <c r="I13" s="4"/>
      <c r="J13" s="4"/>
      <c r="K13" s="4"/>
      <c r="L13" s="4"/>
      <c r="M13" s="4"/>
      <c r="N13" s="4"/>
      <c r="O13" s="4"/>
      <c r="P13" s="4"/>
      <c r="Q13" s="4"/>
      <c r="R13" s="4"/>
      <c r="S13" s="4"/>
      <c r="T13" s="4"/>
      <c r="U13" s="4"/>
      <c r="V13" s="4"/>
    </row>
    <row r="14" spans="1:22" ht="29" x14ac:dyDescent="0.35">
      <c r="A14" s="4" t="s">
        <v>64</v>
      </c>
      <c r="B14" s="37"/>
      <c r="C14" s="37"/>
      <c r="D14" s="37"/>
      <c r="E14" s="14"/>
      <c r="F14" s="14"/>
      <c r="G14" s="4"/>
      <c r="H14" s="4"/>
      <c r="I14" s="4"/>
      <c r="J14" s="4"/>
      <c r="K14" s="4"/>
      <c r="L14" s="4"/>
      <c r="M14" s="4"/>
      <c r="N14" s="4"/>
      <c r="O14" s="4"/>
      <c r="P14" s="4"/>
      <c r="Q14" s="4"/>
      <c r="R14" s="4"/>
      <c r="S14" s="4"/>
      <c r="T14" s="4"/>
      <c r="U14" s="4"/>
      <c r="V14" s="4"/>
    </row>
    <row r="15" spans="1:22" x14ac:dyDescent="0.35">
      <c r="A15" s="4" t="s">
        <v>40</v>
      </c>
      <c r="B15" s="37"/>
      <c r="C15" s="37"/>
      <c r="D15" s="37"/>
      <c r="E15" s="14"/>
      <c r="F15" s="14"/>
      <c r="G15" s="4"/>
      <c r="H15" s="4"/>
      <c r="I15" s="4"/>
      <c r="J15" s="4"/>
      <c r="K15" s="4"/>
      <c r="L15" s="4"/>
      <c r="M15" s="4"/>
      <c r="N15" s="4"/>
      <c r="O15" s="4"/>
      <c r="P15" s="4"/>
      <c r="Q15" s="4"/>
      <c r="R15" s="4"/>
      <c r="S15" s="4"/>
      <c r="T15" s="4"/>
      <c r="U15" s="4"/>
      <c r="V15" s="4"/>
    </row>
    <row r="16" spans="1:22" ht="43.5" x14ac:dyDescent="0.35">
      <c r="A16" s="34" t="s">
        <v>298</v>
      </c>
      <c r="B16" s="37"/>
      <c r="C16" s="37"/>
      <c r="D16" s="37"/>
      <c r="E16" s="14"/>
      <c r="F16" s="14"/>
      <c r="G16" s="4"/>
      <c r="H16" s="4"/>
      <c r="I16" s="4"/>
      <c r="J16" s="4"/>
      <c r="K16" s="4"/>
      <c r="L16" s="4"/>
      <c r="M16" s="4"/>
      <c r="N16" s="4"/>
      <c r="O16" s="4"/>
      <c r="P16" s="4"/>
      <c r="Q16" s="4"/>
      <c r="R16" s="4"/>
      <c r="S16" s="4"/>
      <c r="T16" s="4"/>
      <c r="U16" s="4"/>
      <c r="V16" s="4"/>
    </row>
    <row r="17" spans="1:22" x14ac:dyDescent="0.35">
      <c r="B17" s="38"/>
      <c r="C17" s="38"/>
      <c r="D17" s="38"/>
      <c r="G17" s="4"/>
      <c r="H17" s="4"/>
      <c r="I17" s="4"/>
      <c r="J17" s="4"/>
      <c r="K17" s="4"/>
      <c r="L17" s="4"/>
      <c r="M17" s="4"/>
      <c r="N17" s="4"/>
      <c r="O17" s="4"/>
      <c r="P17" s="4"/>
      <c r="Q17" s="4"/>
      <c r="R17" s="4"/>
      <c r="S17" s="4"/>
      <c r="T17" s="4"/>
      <c r="U17" s="4"/>
      <c r="V17" s="4"/>
    </row>
    <row r="18" spans="1:22" x14ac:dyDescent="0.35">
      <c r="B18" s="38"/>
      <c r="C18" s="38"/>
      <c r="D18" s="38"/>
      <c r="G18" s="4"/>
      <c r="H18" s="4"/>
      <c r="I18" s="4"/>
      <c r="J18" s="4"/>
      <c r="K18" s="4"/>
      <c r="L18" s="4"/>
      <c r="M18" s="4"/>
      <c r="N18" s="4"/>
      <c r="O18" s="4"/>
      <c r="P18" s="4"/>
      <c r="Q18" s="4"/>
      <c r="R18" s="4"/>
      <c r="S18" s="4"/>
      <c r="T18" s="4"/>
      <c r="U18" s="4"/>
      <c r="V18" s="4"/>
    </row>
    <row r="19" spans="1:22" x14ac:dyDescent="0.35">
      <c r="B19" s="38"/>
      <c r="C19" s="38"/>
      <c r="D19" s="38"/>
      <c r="G19" s="4"/>
      <c r="H19" s="4"/>
      <c r="I19" s="4"/>
      <c r="J19" s="4"/>
      <c r="K19" s="4"/>
      <c r="L19" s="4"/>
      <c r="M19" s="4"/>
      <c r="N19" s="4"/>
      <c r="O19" s="4"/>
      <c r="P19" s="4"/>
      <c r="Q19" s="4"/>
      <c r="R19" s="4"/>
      <c r="S19" s="4"/>
      <c r="T19" s="4"/>
      <c r="U19" s="4"/>
      <c r="V19" s="4"/>
    </row>
    <row r="20" spans="1:22" x14ac:dyDescent="0.35">
      <c r="B20" s="38"/>
      <c r="C20" s="38"/>
      <c r="D20" s="38"/>
      <c r="G20" s="4"/>
      <c r="H20" s="4"/>
      <c r="I20" s="4"/>
      <c r="J20" s="4"/>
      <c r="K20" s="4"/>
      <c r="L20" s="4"/>
      <c r="M20" s="4"/>
      <c r="N20" s="4"/>
      <c r="O20" s="4"/>
      <c r="P20" s="4"/>
      <c r="Q20" s="4"/>
      <c r="R20" s="4"/>
      <c r="S20" s="4"/>
      <c r="T20" s="4"/>
      <c r="U20" s="4"/>
      <c r="V20" s="4"/>
    </row>
    <row r="21" spans="1:22" x14ac:dyDescent="0.35">
      <c r="B21" s="38"/>
      <c r="C21" s="38"/>
      <c r="D21" s="38"/>
      <c r="G21" s="4"/>
      <c r="H21" s="4"/>
      <c r="I21" s="4"/>
      <c r="J21" s="4"/>
      <c r="K21" s="4"/>
      <c r="L21" s="4"/>
      <c r="M21" s="4"/>
      <c r="N21" s="4"/>
      <c r="O21" s="4"/>
      <c r="P21" s="4"/>
      <c r="Q21" s="4"/>
      <c r="R21" s="4"/>
      <c r="S21" s="4"/>
      <c r="T21" s="4"/>
      <c r="U21" s="4"/>
      <c r="V21" s="4"/>
    </row>
    <row r="22" spans="1:22" x14ac:dyDescent="0.35">
      <c r="G22" s="4"/>
      <c r="H22" s="4"/>
      <c r="I22" s="4"/>
      <c r="J22" s="4"/>
      <c r="K22" s="4"/>
      <c r="L22" s="4"/>
      <c r="M22" s="4"/>
      <c r="N22" s="4"/>
      <c r="O22" s="4"/>
      <c r="P22" s="4"/>
      <c r="Q22" s="4"/>
      <c r="R22" s="4"/>
      <c r="S22" s="4"/>
      <c r="T22" s="4"/>
      <c r="U22" s="4"/>
      <c r="V22" s="4"/>
    </row>
    <row r="23" spans="1:22" x14ac:dyDescent="0.35">
      <c r="G23" s="4"/>
      <c r="H23" s="4"/>
      <c r="I23" s="4"/>
      <c r="J23" s="4"/>
      <c r="K23" s="4"/>
      <c r="L23" s="4"/>
      <c r="M23" s="4"/>
      <c r="N23" s="4"/>
      <c r="O23" s="4"/>
      <c r="P23" s="4"/>
      <c r="Q23" s="4"/>
      <c r="R23" s="4"/>
      <c r="S23" s="4"/>
      <c r="T23" s="4"/>
      <c r="U23" s="4"/>
      <c r="V23" s="4"/>
    </row>
    <row r="24" spans="1:22" x14ac:dyDescent="0.35">
      <c r="G24" s="4"/>
      <c r="H24" s="4"/>
      <c r="I24" s="4"/>
      <c r="J24" s="4"/>
      <c r="K24" s="4"/>
      <c r="L24" s="4"/>
      <c r="M24" s="4"/>
      <c r="N24" s="4"/>
      <c r="O24" s="4"/>
      <c r="P24" s="4"/>
      <c r="Q24" s="4"/>
      <c r="R24" s="4"/>
      <c r="S24" s="4"/>
      <c r="T24" s="4"/>
      <c r="U24" s="4"/>
      <c r="V24" s="4"/>
    </row>
    <row r="25" spans="1:22" x14ac:dyDescent="0.35">
      <c r="G25" s="4"/>
      <c r="H25" s="4"/>
      <c r="I25" s="4"/>
      <c r="J25" s="4"/>
      <c r="K25" s="4"/>
      <c r="L25" s="4"/>
      <c r="M25" s="4"/>
      <c r="N25" s="4"/>
      <c r="O25" s="4"/>
      <c r="P25" s="4"/>
      <c r="Q25" s="4"/>
      <c r="R25" s="4"/>
      <c r="S25" s="4"/>
      <c r="T25" s="4"/>
      <c r="U25" s="4"/>
      <c r="V25" s="4"/>
    </row>
    <row r="26" spans="1:22" x14ac:dyDescent="0.35">
      <c r="G26" s="4"/>
      <c r="H26" s="4"/>
      <c r="I26" s="4"/>
      <c r="J26" s="4"/>
      <c r="K26" s="4"/>
      <c r="L26" s="4"/>
      <c r="M26" s="4"/>
      <c r="N26" s="4"/>
      <c r="O26" s="4"/>
      <c r="P26" s="4"/>
      <c r="Q26" s="4"/>
      <c r="R26" s="4"/>
      <c r="S26" s="4"/>
      <c r="T26" s="4"/>
      <c r="U26" s="4"/>
      <c r="V26" s="4"/>
    </row>
    <row r="27" spans="1:22" x14ac:dyDescent="0.35">
      <c r="G27" s="4"/>
      <c r="H27" s="4"/>
      <c r="I27" s="4"/>
      <c r="J27" s="4"/>
      <c r="K27" s="4"/>
      <c r="L27" s="4"/>
      <c r="M27" s="4"/>
      <c r="N27" s="4"/>
      <c r="O27" s="4"/>
      <c r="P27" s="4"/>
      <c r="Q27" s="4"/>
      <c r="R27" s="4"/>
      <c r="S27" s="4"/>
      <c r="T27" s="4"/>
      <c r="U27" s="4"/>
      <c r="V27" s="4"/>
    </row>
    <row r="28" spans="1:22" x14ac:dyDescent="0.35">
      <c r="A28" s="4"/>
      <c r="B28" s="12"/>
      <c r="C28" s="12"/>
      <c r="D28" s="12"/>
      <c r="E28" s="14"/>
      <c r="F28" s="14"/>
      <c r="G28" s="4"/>
      <c r="H28" s="4"/>
      <c r="I28" s="4"/>
      <c r="J28" s="4"/>
      <c r="K28" s="4"/>
      <c r="L28" s="4"/>
      <c r="M28" s="4"/>
      <c r="N28" s="4"/>
      <c r="O28" s="4"/>
      <c r="P28" s="4"/>
      <c r="Q28" s="4"/>
      <c r="R28" s="4"/>
      <c r="S28" s="4"/>
      <c r="T28" s="4"/>
      <c r="U28" s="4"/>
      <c r="V28" s="4"/>
    </row>
    <row r="29" spans="1:22" x14ac:dyDescent="0.35">
      <c r="A29" s="4"/>
      <c r="B29" s="12"/>
      <c r="C29" s="12"/>
      <c r="D29" s="12"/>
      <c r="E29" s="14"/>
      <c r="F29" s="14"/>
      <c r="G29" s="4"/>
      <c r="H29" s="4"/>
      <c r="I29" s="4"/>
      <c r="J29" s="4"/>
      <c r="K29" s="4"/>
      <c r="L29" s="4"/>
      <c r="M29" s="4"/>
      <c r="N29" s="4"/>
      <c r="O29" s="4"/>
      <c r="P29" s="4"/>
      <c r="Q29" s="4"/>
      <c r="R29" s="4"/>
      <c r="S29" s="4"/>
      <c r="T29" s="4"/>
      <c r="U29" s="4"/>
      <c r="V29" s="4"/>
    </row>
    <row r="30" spans="1:22" x14ac:dyDescent="0.35">
      <c r="A30" s="4"/>
      <c r="B30" s="12"/>
      <c r="C30" s="12"/>
      <c r="D30" s="12"/>
      <c r="E30" s="14"/>
      <c r="F30" s="14"/>
      <c r="G30" s="4"/>
      <c r="H30" s="4"/>
      <c r="I30" s="4"/>
      <c r="J30" s="4"/>
      <c r="K30" s="4"/>
      <c r="L30" s="4"/>
      <c r="M30" s="4"/>
      <c r="N30" s="4"/>
      <c r="O30" s="4"/>
      <c r="P30" s="4"/>
      <c r="Q30" s="4"/>
      <c r="R30" s="4"/>
      <c r="S30" s="4"/>
      <c r="T30" s="4"/>
      <c r="U30" s="4"/>
      <c r="V30" s="4"/>
    </row>
    <row r="31" spans="1:22" x14ac:dyDescent="0.35">
      <c r="A31" s="4"/>
      <c r="B31" s="12"/>
      <c r="C31" s="12"/>
      <c r="D31" s="12"/>
      <c r="E31" s="14"/>
      <c r="F31" s="14"/>
      <c r="G31" s="4"/>
      <c r="H31" s="4"/>
      <c r="I31" s="4"/>
      <c r="J31" s="4"/>
      <c r="K31" s="4"/>
      <c r="L31" s="4"/>
      <c r="M31" s="4"/>
      <c r="N31" s="4"/>
      <c r="O31" s="4"/>
      <c r="P31" s="4"/>
      <c r="Q31" s="4"/>
      <c r="R31" s="4"/>
      <c r="S31" s="4"/>
      <c r="T31" s="4"/>
      <c r="U31" s="4"/>
      <c r="V31" s="4"/>
    </row>
    <row r="32" spans="1:22" x14ac:dyDescent="0.35">
      <c r="A32" s="4"/>
      <c r="B32" s="12"/>
      <c r="C32" s="12"/>
      <c r="D32" s="12"/>
      <c r="E32" s="14"/>
      <c r="F32" s="14"/>
      <c r="G32" s="4"/>
      <c r="H32" s="4"/>
      <c r="I32" s="4"/>
      <c r="J32" s="4"/>
      <c r="K32" s="4"/>
      <c r="L32" s="4"/>
      <c r="M32" s="4"/>
      <c r="N32" s="4"/>
      <c r="O32" s="4"/>
      <c r="P32" s="4"/>
      <c r="Q32" s="4"/>
      <c r="R32" s="4"/>
      <c r="S32" s="4"/>
      <c r="T32" s="4"/>
      <c r="U32" s="4"/>
      <c r="V32" s="4"/>
    </row>
    <row r="33" spans="2:6" x14ac:dyDescent="0.35">
      <c r="B33" s="12"/>
      <c r="C33" s="12"/>
      <c r="D33" s="12"/>
      <c r="E33" s="15"/>
      <c r="F33" s="15"/>
    </row>
  </sheetData>
  <hyperlinks>
    <hyperlink ref="G6" r:id="rId1" xr:uid="{678BD70B-5568-4C4F-82E1-9156322B5E98}"/>
    <hyperlink ref="G9" r:id="rId2" xr:uid="{2908DB0F-4962-4856-BBA9-0420BAF76ED7}"/>
    <hyperlink ref="G8" r:id="rId3" xr:uid="{5B16D6C4-A6A7-49CD-9F69-8B2235E56AA5}"/>
    <hyperlink ref="G5" r:id="rId4" xr:uid="{24F428A2-55D0-4570-93FB-7685AD8D5432}"/>
    <hyperlink ref="G12" r:id="rId5" xr:uid="{D4ED9937-50C9-4A24-9825-336692FB767A}"/>
    <hyperlink ref="G10" r:id="rId6" xr:uid="{73BB806A-3D81-4773-8650-AB6101C45CB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78"/>
  <sheetViews>
    <sheetView topLeftCell="B1" workbookViewId="0"/>
  </sheetViews>
  <sheetFormatPr defaultRowHeight="14.5" x14ac:dyDescent="0.35"/>
  <cols>
    <col min="1" max="1" width="9" customWidth="1"/>
    <col min="2" max="2" width="60" customWidth="1"/>
    <col min="3" max="3" width="24" customWidth="1"/>
    <col min="4" max="4" width="38" customWidth="1"/>
    <col min="5" max="5" width="13" customWidth="1"/>
    <col min="6" max="7" width="18" customWidth="1"/>
    <col min="8" max="8" width="14" customWidth="1"/>
    <col min="9" max="9" width="28" customWidth="1"/>
    <col min="10" max="11" width="14" customWidth="1"/>
    <col min="12" max="12" width="16" customWidth="1"/>
    <col min="13" max="25" width="2" hidden="1" customWidth="1"/>
  </cols>
  <sheetData>
    <row r="1" spans="1:25" s="5" customFormat="1" ht="24" customHeight="1" x14ac:dyDescent="0.35">
      <c r="A1" s="6" t="s">
        <v>168</v>
      </c>
      <c r="B1" s="6" t="s">
        <v>169</v>
      </c>
      <c r="C1" s="6" t="s">
        <v>170</v>
      </c>
      <c r="D1" s="6" t="s">
        <v>171</v>
      </c>
      <c r="E1" s="6" t="s">
        <v>172</v>
      </c>
      <c r="F1" s="6" t="s">
        <v>173</v>
      </c>
      <c r="G1" s="6" t="s">
        <v>174</v>
      </c>
      <c r="H1" s="6" t="s">
        <v>175</v>
      </c>
      <c r="I1" s="6" t="s">
        <v>176</v>
      </c>
      <c r="J1" s="6" t="s">
        <v>177</v>
      </c>
      <c r="K1" s="6" t="s">
        <v>178</v>
      </c>
      <c r="L1" s="6" t="s">
        <v>179</v>
      </c>
    </row>
    <row r="2" spans="1:25" ht="24" customHeight="1" x14ac:dyDescent="0.35">
      <c r="A2" s="7" t="s">
        <v>9</v>
      </c>
      <c r="B2" s="8" t="s">
        <v>180</v>
      </c>
      <c r="C2" s="9" t="s">
        <v>181</v>
      </c>
      <c r="D2" s="8" t="s">
        <v>182</v>
      </c>
      <c r="E2" s="10" t="s">
        <v>183</v>
      </c>
      <c r="F2" s="10" t="s">
        <v>184</v>
      </c>
      <c r="G2" s="10" t="s">
        <v>184</v>
      </c>
      <c r="H2" s="10" t="s">
        <v>14</v>
      </c>
      <c r="I2" s="8" t="s">
        <v>14</v>
      </c>
      <c r="J2" s="10" t="s">
        <v>184</v>
      </c>
      <c r="K2" s="10" t="s">
        <v>184</v>
      </c>
      <c r="L2" s="11" t="s">
        <v>14</v>
      </c>
      <c r="M2" s="1"/>
      <c r="N2" s="1"/>
      <c r="O2" s="1"/>
      <c r="P2" s="1"/>
      <c r="Q2" s="1"/>
      <c r="R2" s="1"/>
      <c r="S2" s="1"/>
      <c r="T2" s="1"/>
      <c r="U2" s="1"/>
      <c r="V2" s="1"/>
      <c r="W2" s="1"/>
      <c r="X2" s="1"/>
    </row>
    <row r="3" spans="1:25" ht="24" customHeight="1" x14ac:dyDescent="0.35">
      <c r="A3" s="7" t="s">
        <v>15</v>
      </c>
      <c r="B3" s="8" t="s">
        <v>185</v>
      </c>
      <c r="C3" s="9" t="s">
        <v>181</v>
      </c>
      <c r="D3" s="8" t="s">
        <v>186</v>
      </c>
      <c r="E3" s="10" t="s">
        <v>183</v>
      </c>
      <c r="F3" s="10" t="s">
        <v>184</v>
      </c>
      <c r="G3" s="10" t="s">
        <v>184</v>
      </c>
      <c r="H3" s="10" t="s">
        <v>14</v>
      </c>
      <c r="I3" s="8" t="s">
        <v>14</v>
      </c>
      <c r="J3" s="10" t="s">
        <v>184</v>
      </c>
      <c r="K3" s="10" t="s">
        <v>184</v>
      </c>
      <c r="L3" s="11" t="s">
        <v>14</v>
      </c>
      <c r="M3" s="1"/>
      <c r="N3" s="1"/>
      <c r="O3" s="1"/>
      <c r="P3" s="1"/>
      <c r="Q3" s="1"/>
      <c r="R3" s="1"/>
      <c r="S3" s="1"/>
      <c r="T3" s="1"/>
      <c r="U3" s="1"/>
      <c r="V3" s="1"/>
      <c r="W3" s="1"/>
      <c r="X3" s="1"/>
      <c r="Y3" s="1"/>
    </row>
    <row r="4" spans="1:25" ht="24" customHeight="1" x14ac:dyDescent="0.35">
      <c r="A4" s="7" t="s">
        <v>17</v>
      </c>
      <c r="B4" s="8" t="s">
        <v>187</v>
      </c>
      <c r="C4" s="9" t="s">
        <v>181</v>
      </c>
      <c r="D4" s="8" t="s">
        <v>186</v>
      </c>
      <c r="E4" s="10" t="s">
        <v>183</v>
      </c>
      <c r="F4" s="10" t="s">
        <v>184</v>
      </c>
      <c r="G4" s="10" t="s">
        <v>184</v>
      </c>
      <c r="H4" s="10" t="s">
        <v>14</v>
      </c>
      <c r="I4" s="8" t="s">
        <v>14</v>
      </c>
      <c r="J4" s="10" t="s">
        <v>184</v>
      </c>
      <c r="K4" s="10" t="s">
        <v>184</v>
      </c>
      <c r="L4" s="11" t="s">
        <v>14</v>
      </c>
      <c r="M4" s="1"/>
      <c r="N4" s="1"/>
      <c r="O4" s="1"/>
      <c r="P4" s="1"/>
      <c r="Q4" s="1"/>
      <c r="R4" s="1"/>
      <c r="S4" s="1"/>
      <c r="T4" s="1"/>
      <c r="U4" s="1"/>
      <c r="V4" s="1"/>
      <c r="W4" s="1"/>
      <c r="X4" s="1"/>
    </row>
    <row r="5" spans="1:25" ht="48" customHeight="1" x14ac:dyDescent="0.35">
      <c r="A5" s="7" t="s">
        <v>18</v>
      </c>
      <c r="B5" s="8" t="s">
        <v>188</v>
      </c>
      <c r="C5" s="9" t="s">
        <v>181</v>
      </c>
      <c r="D5" s="8" t="s">
        <v>189</v>
      </c>
      <c r="E5" s="10" t="s">
        <v>183</v>
      </c>
      <c r="F5" s="10" t="s">
        <v>184</v>
      </c>
      <c r="G5" s="10" t="s">
        <v>184</v>
      </c>
      <c r="H5" s="10" t="s">
        <v>14</v>
      </c>
      <c r="I5" s="8" t="s">
        <v>14</v>
      </c>
      <c r="J5" s="10" t="s">
        <v>184</v>
      </c>
      <c r="K5" s="10" t="s">
        <v>184</v>
      </c>
      <c r="L5" s="11" t="s">
        <v>14</v>
      </c>
      <c r="M5" s="1"/>
      <c r="N5" s="1"/>
      <c r="O5" s="1"/>
      <c r="P5" s="1"/>
      <c r="Q5" s="1"/>
      <c r="R5" s="1"/>
      <c r="S5" s="1"/>
      <c r="T5" s="1"/>
      <c r="U5" s="1"/>
      <c r="V5" s="1"/>
      <c r="W5" s="1"/>
      <c r="X5" s="1"/>
    </row>
    <row r="6" spans="1:25" ht="14.65" customHeight="1" x14ac:dyDescent="0.35">
      <c r="A6" s="7" t="s">
        <v>20</v>
      </c>
      <c r="B6" s="8" t="s">
        <v>190</v>
      </c>
      <c r="C6" s="9" t="s">
        <v>181</v>
      </c>
      <c r="D6" s="8" t="s">
        <v>191</v>
      </c>
      <c r="E6" s="10" t="s">
        <v>183</v>
      </c>
      <c r="F6" s="10" t="s">
        <v>183</v>
      </c>
      <c r="G6" s="10" t="s">
        <v>184</v>
      </c>
      <c r="H6" s="10" t="s">
        <v>14</v>
      </c>
      <c r="I6" s="8" t="s">
        <v>14</v>
      </c>
      <c r="J6" s="10" t="s">
        <v>184</v>
      </c>
      <c r="K6" s="10" t="s">
        <v>184</v>
      </c>
      <c r="L6" s="11" t="s">
        <v>14</v>
      </c>
      <c r="M6" s="1"/>
      <c r="N6" s="1"/>
      <c r="O6" s="1"/>
      <c r="P6" s="1"/>
      <c r="Q6" s="1"/>
      <c r="R6" s="1"/>
      <c r="S6" s="1"/>
      <c r="T6" s="1"/>
      <c r="U6" s="1"/>
      <c r="V6" s="1"/>
      <c r="W6" s="1"/>
      <c r="X6" s="1"/>
    </row>
    <row r="7" spans="1:25" ht="14.65" customHeight="1" x14ac:dyDescent="0.35">
      <c r="A7" s="7" t="s">
        <v>22</v>
      </c>
      <c r="B7" s="8" t="s">
        <v>192</v>
      </c>
      <c r="C7" s="9" t="s">
        <v>193</v>
      </c>
      <c r="D7" s="8" t="s">
        <v>194</v>
      </c>
      <c r="E7" s="10" t="s">
        <v>183</v>
      </c>
      <c r="F7" s="10" t="s">
        <v>183</v>
      </c>
      <c r="G7" s="10" t="s">
        <v>183</v>
      </c>
      <c r="H7" s="10" t="s">
        <v>14</v>
      </c>
      <c r="I7" s="8" t="s">
        <v>14</v>
      </c>
      <c r="J7" s="10" t="s">
        <v>183</v>
      </c>
      <c r="K7" s="10" t="s">
        <v>183</v>
      </c>
      <c r="L7" s="11" t="s">
        <v>14</v>
      </c>
      <c r="M7" s="1"/>
      <c r="N7" s="1"/>
      <c r="O7" s="1"/>
      <c r="P7" s="1"/>
      <c r="Q7" s="1"/>
      <c r="R7" s="1"/>
      <c r="S7" s="1"/>
      <c r="T7" s="1"/>
      <c r="U7" s="1"/>
      <c r="V7" s="1"/>
      <c r="W7" s="1"/>
      <c r="X7" s="1"/>
    </row>
    <row r="8" spans="1:25" ht="14.65" customHeight="1" x14ac:dyDescent="0.35">
      <c r="A8" s="7" t="s">
        <v>25</v>
      </c>
      <c r="B8" s="8" t="s">
        <v>195</v>
      </c>
      <c r="C8" s="9" t="s">
        <v>193</v>
      </c>
      <c r="D8" s="8" t="s">
        <v>194</v>
      </c>
      <c r="E8" s="10" t="s">
        <v>183</v>
      </c>
      <c r="F8" s="10" t="s">
        <v>183</v>
      </c>
      <c r="G8" s="10" t="s">
        <v>183</v>
      </c>
      <c r="H8" s="10" t="s">
        <v>14</v>
      </c>
      <c r="I8" s="8" t="s">
        <v>14</v>
      </c>
      <c r="J8" s="10" t="s">
        <v>183</v>
      </c>
      <c r="K8" s="10" t="s">
        <v>183</v>
      </c>
      <c r="L8" s="11" t="s">
        <v>14</v>
      </c>
      <c r="M8" s="1"/>
      <c r="N8" s="1"/>
      <c r="O8" s="1"/>
      <c r="P8" s="1"/>
      <c r="Q8" s="1"/>
      <c r="R8" s="1"/>
      <c r="S8" s="1"/>
      <c r="T8" s="1"/>
      <c r="U8" s="1"/>
      <c r="V8" s="1"/>
      <c r="W8" s="1"/>
      <c r="X8" s="1"/>
    </row>
    <row r="9" spans="1:25" ht="36" customHeight="1" x14ac:dyDescent="0.35">
      <c r="A9" s="7" t="s">
        <v>26</v>
      </c>
      <c r="B9" s="8" t="s">
        <v>196</v>
      </c>
      <c r="C9" s="9" t="s">
        <v>193</v>
      </c>
      <c r="D9" s="8" t="s">
        <v>197</v>
      </c>
      <c r="E9" s="10" t="s">
        <v>183</v>
      </c>
      <c r="F9" s="10" t="s">
        <v>183</v>
      </c>
      <c r="G9" s="10" t="s">
        <v>183</v>
      </c>
      <c r="H9" s="10" t="s">
        <v>14</v>
      </c>
      <c r="I9" s="8" t="s">
        <v>14</v>
      </c>
      <c r="J9" s="10" t="s">
        <v>184</v>
      </c>
      <c r="K9" s="10" t="s">
        <v>184</v>
      </c>
      <c r="L9" s="11" t="s">
        <v>14</v>
      </c>
      <c r="M9" s="1"/>
      <c r="N9" s="1"/>
      <c r="O9" s="1"/>
      <c r="P9" s="1"/>
      <c r="Q9" s="1"/>
      <c r="R9" s="1"/>
      <c r="S9" s="1"/>
      <c r="T9" s="1"/>
      <c r="U9" s="1"/>
      <c r="V9" s="1"/>
      <c r="W9" s="1"/>
      <c r="X9" s="1"/>
    </row>
    <row r="10" spans="1:25" ht="24" customHeight="1" x14ac:dyDescent="0.35">
      <c r="A10" s="7" t="s">
        <v>28</v>
      </c>
      <c r="B10" s="8" t="s">
        <v>198</v>
      </c>
      <c r="C10" s="9" t="s">
        <v>193</v>
      </c>
      <c r="D10" s="8" t="s">
        <v>199</v>
      </c>
      <c r="E10" s="10" t="s">
        <v>183</v>
      </c>
      <c r="F10" s="10" t="s">
        <v>183</v>
      </c>
      <c r="G10" s="10" t="s">
        <v>183</v>
      </c>
      <c r="H10" s="10" t="s">
        <v>14</v>
      </c>
      <c r="I10" s="8" t="s">
        <v>14</v>
      </c>
      <c r="J10" s="10" t="s">
        <v>183</v>
      </c>
      <c r="K10" s="10" t="s">
        <v>183</v>
      </c>
      <c r="L10" s="11" t="s">
        <v>14</v>
      </c>
      <c r="M10" s="1"/>
      <c r="N10" s="1"/>
      <c r="O10" s="1"/>
      <c r="P10" s="1"/>
      <c r="Q10" s="1"/>
      <c r="R10" s="1"/>
      <c r="S10" s="1"/>
      <c r="T10" s="1"/>
      <c r="U10" s="1"/>
      <c r="V10" s="1"/>
      <c r="W10" s="1"/>
      <c r="X10" s="1"/>
    </row>
    <row r="11" spans="1:25" ht="14.65" customHeight="1" x14ac:dyDescent="0.35">
      <c r="A11" s="7" t="s">
        <v>31</v>
      </c>
      <c r="B11" s="8" t="s">
        <v>200</v>
      </c>
      <c r="C11" s="9" t="s">
        <v>193</v>
      </c>
      <c r="D11" s="8" t="s">
        <v>197</v>
      </c>
      <c r="E11" s="10" t="s">
        <v>183</v>
      </c>
      <c r="F11" s="10" t="s">
        <v>183</v>
      </c>
      <c r="G11" s="10" t="s">
        <v>183</v>
      </c>
      <c r="H11" s="10" t="s">
        <v>14</v>
      </c>
      <c r="I11" s="8" t="s">
        <v>14</v>
      </c>
      <c r="J11" s="10" t="s">
        <v>184</v>
      </c>
      <c r="K11" s="10" t="s">
        <v>184</v>
      </c>
      <c r="L11" s="11" t="s">
        <v>14</v>
      </c>
      <c r="M11" s="1"/>
      <c r="N11" s="1"/>
      <c r="O11" s="1"/>
      <c r="P11" s="1"/>
      <c r="Q11" s="1"/>
      <c r="R11" s="1"/>
      <c r="S11" s="1"/>
      <c r="T11" s="1"/>
      <c r="U11" s="1"/>
      <c r="V11" s="1"/>
      <c r="W11" s="1"/>
      <c r="X11" s="1"/>
    </row>
    <row r="12" spans="1:25" ht="14.65" customHeight="1" x14ac:dyDescent="0.35">
      <c r="A12" s="7" t="s">
        <v>33</v>
      </c>
      <c r="B12" s="8" t="s">
        <v>201</v>
      </c>
      <c r="C12" s="9" t="s">
        <v>193</v>
      </c>
      <c r="D12" s="8" t="s">
        <v>189</v>
      </c>
      <c r="E12" s="10" t="s">
        <v>183</v>
      </c>
      <c r="F12" s="10" t="s">
        <v>184</v>
      </c>
      <c r="G12" s="10" t="s">
        <v>184</v>
      </c>
      <c r="H12" s="10" t="s">
        <v>14</v>
      </c>
      <c r="I12" s="8" t="s">
        <v>14</v>
      </c>
      <c r="J12" s="10" t="s">
        <v>184</v>
      </c>
      <c r="K12" s="10" t="s">
        <v>184</v>
      </c>
      <c r="L12" s="11" t="s">
        <v>14</v>
      </c>
      <c r="M12" s="1"/>
      <c r="N12" s="1"/>
      <c r="O12" s="1"/>
      <c r="P12" s="1"/>
      <c r="Q12" s="1"/>
      <c r="R12" s="1"/>
      <c r="S12" s="1"/>
      <c r="T12" s="1"/>
      <c r="U12" s="1"/>
      <c r="V12" s="1"/>
      <c r="W12" s="1"/>
      <c r="X12" s="1"/>
    </row>
    <row r="13" spans="1:25" ht="36" customHeight="1" x14ac:dyDescent="0.35">
      <c r="A13" s="7" t="s">
        <v>35</v>
      </c>
      <c r="B13" s="8" t="s">
        <v>202</v>
      </c>
      <c r="C13" s="9" t="s">
        <v>193</v>
      </c>
      <c r="D13" s="8" t="s">
        <v>203</v>
      </c>
      <c r="E13" s="10" t="s">
        <v>183</v>
      </c>
      <c r="F13" s="10" t="s">
        <v>183</v>
      </c>
      <c r="G13" s="10" t="s">
        <v>183</v>
      </c>
      <c r="H13" s="10" t="s">
        <v>14</v>
      </c>
      <c r="I13" s="8" t="s">
        <v>14</v>
      </c>
      <c r="J13" s="10" t="s">
        <v>183</v>
      </c>
      <c r="K13" s="10" t="s">
        <v>183</v>
      </c>
      <c r="L13" s="11" t="s">
        <v>14</v>
      </c>
      <c r="M13" s="1"/>
      <c r="N13" s="1"/>
      <c r="O13" s="1"/>
      <c r="P13" s="1"/>
      <c r="Q13" s="1"/>
      <c r="R13" s="1"/>
      <c r="S13" s="1"/>
      <c r="T13" s="1"/>
      <c r="U13" s="1"/>
      <c r="V13" s="1"/>
      <c r="W13" s="1"/>
      <c r="X13" s="1"/>
    </row>
    <row r="14" spans="1:25" ht="36" customHeight="1" x14ac:dyDescent="0.35">
      <c r="A14" s="7" t="s">
        <v>38</v>
      </c>
      <c r="B14" s="8" t="s">
        <v>204</v>
      </c>
      <c r="C14" s="9" t="s">
        <v>193</v>
      </c>
      <c r="D14" s="8" t="s">
        <v>189</v>
      </c>
      <c r="E14" s="10" t="s">
        <v>183</v>
      </c>
      <c r="F14" s="10" t="s">
        <v>184</v>
      </c>
      <c r="G14" s="10" t="s">
        <v>184</v>
      </c>
      <c r="H14" s="10" t="s">
        <v>14</v>
      </c>
      <c r="I14" s="8" t="s">
        <v>14</v>
      </c>
      <c r="J14" s="10" t="s">
        <v>184</v>
      </c>
      <c r="K14" s="10" t="s">
        <v>184</v>
      </c>
      <c r="L14" s="11" t="s">
        <v>14</v>
      </c>
      <c r="M14" s="1"/>
      <c r="N14" s="1"/>
      <c r="O14" s="1"/>
      <c r="P14" s="1"/>
      <c r="Q14" s="1"/>
      <c r="R14" s="1"/>
      <c r="S14" s="1"/>
      <c r="T14" s="1"/>
      <c r="U14" s="1"/>
      <c r="V14" s="1"/>
      <c r="W14" s="1"/>
      <c r="X14" s="1"/>
    </row>
    <row r="15" spans="1:25" ht="48" customHeight="1" x14ac:dyDescent="0.35">
      <c r="A15" s="7" t="s">
        <v>39</v>
      </c>
      <c r="B15" s="8" t="s">
        <v>205</v>
      </c>
      <c r="C15" s="9" t="s">
        <v>193</v>
      </c>
      <c r="D15" s="8" t="s">
        <v>206</v>
      </c>
      <c r="E15" s="10" t="s">
        <v>183</v>
      </c>
      <c r="F15" s="10" t="s">
        <v>183</v>
      </c>
      <c r="G15" s="10" t="s">
        <v>183</v>
      </c>
      <c r="H15" s="10" t="s">
        <v>14</v>
      </c>
      <c r="I15" s="8" t="s">
        <v>14</v>
      </c>
      <c r="J15" s="10" t="s">
        <v>183</v>
      </c>
      <c r="K15" s="10" t="s">
        <v>184</v>
      </c>
      <c r="L15" s="11" t="s">
        <v>14</v>
      </c>
      <c r="M15" s="1"/>
      <c r="N15" s="1"/>
      <c r="O15" s="1"/>
      <c r="P15" s="1"/>
      <c r="Q15" s="1"/>
      <c r="R15" s="1"/>
      <c r="S15" s="1"/>
      <c r="T15" s="1"/>
      <c r="U15" s="1"/>
      <c r="V15" s="1"/>
      <c r="W15" s="1"/>
      <c r="X15" s="1"/>
    </row>
    <row r="16" spans="1:25" ht="48" customHeight="1" x14ac:dyDescent="0.35">
      <c r="A16" s="7" t="s">
        <v>41</v>
      </c>
      <c r="B16" s="8" t="s">
        <v>207</v>
      </c>
      <c r="C16" s="9" t="s">
        <v>193</v>
      </c>
      <c r="D16" s="8" t="s">
        <v>189</v>
      </c>
      <c r="E16" s="10" t="s">
        <v>183</v>
      </c>
      <c r="F16" s="10" t="s">
        <v>184</v>
      </c>
      <c r="G16" s="10" t="s">
        <v>184</v>
      </c>
      <c r="H16" s="10" t="s">
        <v>14</v>
      </c>
      <c r="I16" s="8" t="s">
        <v>14</v>
      </c>
      <c r="J16" s="10" t="s">
        <v>184</v>
      </c>
      <c r="K16" s="10" t="s">
        <v>184</v>
      </c>
      <c r="L16" s="11" t="s">
        <v>14</v>
      </c>
      <c r="M16" s="1"/>
      <c r="N16" s="1"/>
      <c r="O16" s="1"/>
      <c r="P16" s="1"/>
      <c r="Q16" s="1"/>
      <c r="R16" s="1"/>
      <c r="S16" s="1"/>
      <c r="T16" s="1"/>
      <c r="U16" s="1"/>
      <c r="V16" s="1"/>
      <c r="W16" s="1"/>
      <c r="X16" s="1"/>
    </row>
    <row r="17" spans="1:24" ht="48" customHeight="1" x14ac:dyDescent="0.35">
      <c r="A17" s="7" t="s">
        <v>42</v>
      </c>
      <c r="B17" s="8" t="s">
        <v>208</v>
      </c>
      <c r="C17" s="9" t="s">
        <v>193</v>
      </c>
      <c r="D17" s="8" t="s">
        <v>197</v>
      </c>
      <c r="E17" s="10" t="s">
        <v>183</v>
      </c>
      <c r="F17" s="10" t="s">
        <v>183</v>
      </c>
      <c r="G17" s="10" t="s">
        <v>183</v>
      </c>
      <c r="H17" s="10" t="s">
        <v>14</v>
      </c>
      <c r="I17" s="8" t="s">
        <v>14</v>
      </c>
      <c r="J17" s="10" t="s">
        <v>183</v>
      </c>
      <c r="K17" s="10" t="s">
        <v>183</v>
      </c>
      <c r="L17" s="11" t="s">
        <v>14</v>
      </c>
      <c r="M17" s="1"/>
      <c r="N17" s="1"/>
      <c r="O17" s="1"/>
      <c r="P17" s="1"/>
      <c r="Q17" s="1"/>
      <c r="R17" s="1"/>
      <c r="S17" s="1"/>
      <c r="T17" s="1"/>
      <c r="U17" s="1"/>
      <c r="V17" s="1"/>
      <c r="W17" s="1"/>
      <c r="X17" s="1"/>
    </row>
    <row r="18" spans="1:24" ht="48" customHeight="1" x14ac:dyDescent="0.35">
      <c r="A18" s="7" t="s">
        <v>43</v>
      </c>
      <c r="B18" s="8" t="s">
        <v>209</v>
      </c>
      <c r="C18" s="9" t="s">
        <v>193</v>
      </c>
      <c r="D18" s="8" t="s">
        <v>197</v>
      </c>
      <c r="E18" s="10" t="s">
        <v>183</v>
      </c>
      <c r="F18" s="10" t="s">
        <v>183</v>
      </c>
      <c r="G18" s="10" t="s">
        <v>183</v>
      </c>
      <c r="H18" s="10" t="s">
        <v>14</v>
      </c>
      <c r="I18" s="8" t="s">
        <v>14</v>
      </c>
      <c r="J18" s="10" t="s">
        <v>183</v>
      </c>
      <c r="K18" s="10" t="s">
        <v>184</v>
      </c>
      <c r="L18" s="11" t="s">
        <v>14</v>
      </c>
      <c r="M18" s="1"/>
      <c r="N18" s="1"/>
      <c r="O18" s="1"/>
      <c r="P18" s="1"/>
      <c r="Q18" s="1"/>
      <c r="R18" s="1"/>
      <c r="S18" s="1"/>
      <c r="T18" s="1"/>
      <c r="U18" s="1"/>
      <c r="V18" s="1"/>
      <c r="W18" s="1"/>
      <c r="X18" s="1"/>
    </row>
    <row r="19" spans="1:24" ht="48" customHeight="1" x14ac:dyDescent="0.35">
      <c r="A19" s="7" t="s">
        <v>44</v>
      </c>
      <c r="B19" s="8" t="s">
        <v>210</v>
      </c>
      <c r="C19" s="9" t="s">
        <v>193</v>
      </c>
      <c r="D19" s="8" t="s">
        <v>206</v>
      </c>
      <c r="E19" s="10" t="s">
        <v>183</v>
      </c>
      <c r="F19" s="10" t="s">
        <v>183</v>
      </c>
      <c r="G19" s="10" t="s">
        <v>183</v>
      </c>
      <c r="H19" s="10" t="s">
        <v>14</v>
      </c>
      <c r="I19" s="8" t="s">
        <v>14</v>
      </c>
      <c r="J19" s="10" t="s">
        <v>183</v>
      </c>
      <c r="K19" s="10" t="s">
        <v>184</v>
      </c>
      <c r="L19" s="11" t="s">
        <v>14</v>
      </c>
      <c r="M19" s="1"/>
      <c r="N19" s="1"/>
      <c r="O19" s="1"/>
      <c r="P19" s="1"/>
      <c r="Q19" s="1"/>
      <c r="R19" s="1"/>
      <c r="S19" s="1"/>
      <c r="T19" s="1"/>
      <c r="U19" s="1"/>
      <c r="V19" s="1"/>
      <c r="W19" s="1"/>
      <c r="X19" s="1"/>
    </row>
    <row r="20" spans="1:24" ht="48" customHeight="1" x14ac:dyDescent="0.35">
      <c r="A20" s="7" t="s">
        <v>45</v>
      </c>
      <c r="B20" s="8" t="s">
        <v>211</v>
      </c>
      <c r="C20" s="9" t="s">
        <v>193</v>
      </c>
      <c r="D20" s="8" t="s">
        <v>197</v>
      </c>
      <c r="E20" s="10" t="s">
        <v>183</v>
      </c>
      <c r="F20" s="10" t="s">
        <v>183</v>
      </c>
      <c r="G20" s="10" t="s">
        <v>183</v>
      </c>
      <c r="H20" s="10" t="s">
        <v>14</v>
      </c>
      <c r="I20" s="8" t="s">
        <v>14</v>
      </c>
      <c r="J20" s="10" t="s">
        <v>183</v>
      </c>
      <c r="K20" s="10" t="s">
        <v>184</v>
      </c>
      <c r="L20" s="11" t="s">
        <v>14</v>
      </c>
      <c r="M20" s="1"/>
      <c r="N20" s="1"/>
      <c r="O20" s="1"/>
      <c r="P20" s="1"/>
      <c r="Q20" s="1"/>
      <c r="R20" s="1"/>
      <c r="S20" s="1"/>
      <c r="T20" s="1"/>
      <c r="U20" s="1"/>
      <c r="V20" s="1"/>
      <c r="W20" s="1"/>
      <c r="X20" s="1"/>
    </row>
    <row r="21" spans="1:24" ht="48" customHeight="1" x14ac:dyDescent="0.35">
      <c r="A21" s="7" t="s">
        <v>46</v>
      </c>
      <c r="B21" s="8" t="s">
        <v>212</v>
      </c>
      <c r="C21" s="9" t="s">
        <v>193</v>
      </c>
      <c r="D21" s="8" t="s">
        <v>189</v>
      </c>
      <c r="E21" s="10" t="s">
        <v>183</v>
      </c>
      <c r="F21" s="10" t="s">
        <v>183</v>
      </c>
      <c r="G21" s="10" t="s">
        <v>183</v>
      </c>
      <c r="H21" s="10" t="s">
        <v>14</v>
      </c>
      <c r="I21" s="8" t="s">
        <v>14</v>
      </c>
      <c r="J21" s="10" t="s">
        <v>184</v>
      </c>
      <c r="K21" s="10" t="s">
        <v>184</v>
      </c>
      <c r="L21" s="11" t="s">
        <v>14</v>
      </c>
      <c r="M21" s="1"/>
      <c r="N21" s="1"/>
      <c r="O21" s="1"/>
      <c r="P21" s="1"/>
      <c r="Q21" s="1"/>
      <c r="R21" s="1"/>
      <c r="S21" s="1"/>
      <c r="T21" s="1"/>
      <c r="U21" s="1"/>
      <c r="V21" s="1"/>
      <c r="W21" s="1"/>
      <c r="X21" s="1"/>
    </row>
    <row r="22" spans="1:24" ht="48" customHeight="1" x14ac:dyDescent="0.35">
      <c r="A22" s="7" t="s">
        <v>47</v>
      </c>
      <c r="B22" s="8" t="s">
        <v>213</v>
      </c>
      <c r="C22" s="9" t="s">
        <v>193</v>
      </c>
      <c r="D22" s="8" t="s">
        <v>206</v>
      </c>
      <c r="E22" s="10" t="s">
        <v>183</v>
      </c>
      <c r="F22" s="10" t="s">
        <v>183</v>
      </c>
      <c r="G22" s="10" t="s">
        <v>183</v>
      </c>
      <c r="H22" s="10" t="s">
        <v>14</v>
      </c>
      <c r="I22" s="8" t="s">
        <v>14</v>
      </c>
      <c r="J22" s="10" t="s">
        <v>184</v>
      </c>
      <c r="K22" s="10" t="s">
        <v>184</v>
      </c>
      <c r="L22" s="11" t="s">
        <v>14</v>
      </c>
      <c r="M22" s="1"/>
      <c r="N22" s="1"/>
      <c r="O22" s="1"/>
      <c r="P22" s="1"/>
      <c r="Q22" s="1"/>
      <c r="R22" s="1"/>
      <c r="S22" s="1"/>
      <c r="T22" s="1"/>
      <c r="U22" s="1"/>
      <c r="V22" s="1"/>
      <c r="W22" s="1"/>
      <c r="X22" s="1"/>
    </row>
    <row r="23" spans="1:24" ht="14.65" customHeight="1" x14ac:dyDescent="0.35">
      <c r="A23" s="7" t="s">
        <v>48</v>
      </c>
      <c r="B23" s="8" t="s">
        <v>214</v>
      </c>
      <c r="C23" s="9" t="s">
        <v>215</v>
      </c>
      <c r="D23" s="8" t="s">
        <v>206</v>
      </c>
      <c r="E23" s="10" t="s">
        <v>183</v>
      </c>
      <c r="F23" s="10" t="s">
        <v>183</v>
      </c>
      <c r="G23" s="10" t="s">
        <v>183</v>
      </c>
      <c r="H23" s="10" t="s">
        <v>14</v>
      </c>
      <c r="I23" s="8" t="s">
        <v>14</v>
      </c>
      <c r="J23" s="10" t="s">
        <v>183</v>
      </c>
      <c r="K23" s="10" t="s">
        <v>183</v>
      </c>
      <c r="L23" s="11" t="s">
        <v>14</v>
      </c>
      <c r="M23" s="1"/>
      <c r="N23" s="1"/>
      <c r="O23" s="1"/>
      <c r="P23" s="1"/>
      <c r="Q23" s="1"/>
      <c r="R23" s="1"/>
      <c r="S23" s="1"/>
      <c r="T23" s="1"/>
      <c r="U23" s="1"/>
      <c r="V23" s="1"/>
      <c r="W23" s="1"/>
      <c r="X23" s="1"/>
    </row>
    <row r="24" spans="1:24" ht="24" customHeight="1" x14ac:dyDescent="0.35">
      <c r="A24" s="7" t="s">
        <v>51</v>
      </c>
      <c r="B24" s="8" t="s">
        <v>216</v>
      </c>
      <c r="C24" s="9" t="s">
        <v>215</v>
      </c>
      <c r="D24" s="8" t="s">
        <v>189</v>
      </c>
      <c r="E24" s="10" t="s">
        <v>183</v>
      </c>
      <c r="F24" s="10" t="s">
        <v>184</v>
      </c>
      <c r="G24" s="10" t="s">
        <v>184</v>
      </c>
      <c r="H24" s="10" t="s">
        <v>14</v>
      </c>
      <c r="I24" s="8" t="s">
        <v>14</v>
      </c>
      <c r="J24" s="10" t="s">
        <v>184</v>
      </c>
      <c r="K24" s="10" t="s">
        <v>184</v>
      </c>
      <c r="L24" s="11" t="s">
        <v>14</v>
      </c>
      <c r="M24" s="1"/>
      <c r="N24" s="1"/>
      <c r="O24" s="1"/>
      <c r="P24" s="1"/>
      <c r="Q24" s="1"/>
      <c r="R24" s="1"/>
      <c r="S24" s="1"/>
      <c r="T24" s="1"/>
      <c r="U24" s="1"/>
      <c r="V24" s="1"/>
      <c r="W24" s="1"/>
      <c r="X24" s="1"/>
    </row>
    <row r="25" spans="1:24" ht="14.65" customHeight="1" x14ac:dyDescent="0.35">
      <c r="A25" s="7" t="s">
        <v>53</v>
      </c>
      <c r="B25" s="8" t="s">
        <v>217</v>
      </c>
      <c r="C25" s="9" t="s">
        <v>215</v>
      </c>
      <c r="D25" s="8" t="s">
        <v>191</v>
      </c>
      <c r="E25" s="10" t="s">
        <v>183</v>
      </c>
      <c r="F25" s="10" t="s">
        <v>184</v>
      </c>
      <c r="G25" s="10" t="s">
        <v>184</v>
      </c>
      <c r="H25" s="10" t="s">
        <v>14</v>
      </c>
      <c r="I25" s="8" t="s">
        <v>14</v>
      </c>
      <c r="J25" s="10" t="s">
        <v>184</v>
      </c>
      <c r="K25" s="10" t="s">
        <v>184</v>
      </c>
      <c r="L25" s="11" t="s">
        <v>14</v>
      </c>
      <c r="M25" s="1"/>
      <c r="N25" s="1"/>
      <c r="O25" s="1"/>
      <c r="P25" s="1"/>
      <c r="Q25" s="1"/>
      <c r="R25" s="1"/>
      <c r="S25" s="1"/>
      <c r="T25" s="1"/>
      <c r="U25" s="1"/>
      <c r="V25" s="1"/>
      <c r="W25" s="1"/>
      <c r="X25" s="1"/>
    </row>
    <row r="26" spans="1:24" ht="14.65" customHeight="1" x14ac:dyDescent="0.35">
      <c r="A26" s="7" t="s">
        <v>55</v>
      </c>
      <c r="B26" s="8" t="s">
        <v>218</v>
      </c>
      <c r="C26" s="9" t="s">
        <v>215</v>
      </c>
      <c r="D26" s="8" t="s">
        <v>191</v>
      </c>
      <c r="E26" s="10" t="s">
        <v>183</v>
      </c>
      <c r="F26" s="10" t="s">
        <v>184</v>
      </c>
      <c r="G26" s="10" t="s">
        <v>184</v>
      </c>
      <c r="H26" s="10" t="s">
        <v>14</v>
      </c>
      <c r="I26" s="8" t="s">
        <v>14</v>
      </c>
      <c r="J26" s="10" t="s">
        <v>184</v>
      </c>
      <c r="K26" s="10" t="s">
        <v>184</v>
      </c>
      <c r="L26" s="11" t="s">
        <v>14</v>
      </c>
      <c r="M26" s="1"/>
      <c r="N26" s="1"/>
      <c r="O26" s="1"/>
      <c r="P26" s="1"/>
      <c r="Q26" s="1"/>
      <c r="R26" s="1"/>
      <c r="S26" s="1"/>
      <c r="T26" s="1"/>
      <c r="U26" s="1"/>
      <c r="V26" s="1"/>
      <c r="W26" s="1"/>
      <c r="X26" s="1"/>
    </row>
    <row r="27" spans="1:24" ht="36" customHeight="1" x14ac:dyDescent="0.35">
      <c r="A27" s="7" t="s">
        <v>57</v>
      </c>
      <c r="B27" s="8" t="s">
        <v>219</v>
      </c>
      <c r="C27" s="9" t="s">
        <v>215</v>
      </c>
      <c r="D27" s="8" t="s">
        <v>191</v>
      </c>
      <c r="E27" s="10" t="s">
        <v>183</v>
      </c>
      <c r="F27" s="10" t="s">
        <v>183</v>
      </c>
      <c r="G27" s="10" t="s">
        <v>184</v>
      </c>
      <c r="H27" s="10" t="s">
        <v>14</v>
      </c>
      <c r="I27" s="8" t="s">
        <v>14</v>
      </c>
      <c r="J27" s="10" t="s">
        <v>184</v>
      </c>
      <c r="K27" s="10" t="s">
        <v>184</v>
      </c>
      <c r="L27" s="11" t="s">
        <v>14</v>
      </c>
      <c r="M27" s="1"/>
      <c r="N27" s="1"/>
      <c r="O27" s="1"/>
      <c r="P27" s="1"/>
      <c r="Q27" s="1"/>
      <c r="R27" s="1"/>
      <c r="S27" s="1"/>
      <c r="T27" s="1"/>
      <c r="U27" s="1"/>
      <c r="V27" s="1"/>
      <c r="W27" s="1"/>
      <c r="X27" s="1"/>
    </row>
    <row r="28" spans="1:24" ht="14.65" customHeight="1" x14ac:dyDescent="0.35">
      <c r="A28" s="7" t="s">
        <v>59</v>
      </c>
      <c r="B28" s="8" t="s">
        <v>220</v>
      </c>
      <c r="C28" s="9" t="s">
        <v>215</v>
      </c>
      <c r="D28" s="8" t="s">
        <v>221</v>
      </c>
      <c r="E28" s="10" t="s">
        <v>183</v>
      </c>
      <c r="F28" s="10" t="s">
        <v>184</v>
      </c>
      <c r="G28" s="10" t="s">
        <v>184</v>
      </c>
      <c r="H28" s="10" t="s">
        <v>14</v>
      </c>
      <c r="I28" s="8" t="s">
        <v>14</v>
      </c>
      <c r="J28" s="10" t="s">
        <v>184</v>
      </c>
      <c r="K28" s="10" t="s">
        <v>184</v>
      </c>
      <c r="L28" s="11" t="s">
        <v>14</v>
      </c>
      <c r="M28" s="1"/>
      <c r="N28" s="1"/>
      <c r="O28" s="1"/>
      <c r="P28" s="1"/>
      <c r="Q28" s="1"/>
      <c r="R28" s="1"/>
      <c r="S28" s="1"/>
      <c r="T28" s="1"/>
      <c r="U28" s="1"/>
      <c r="V28" s="1"/>
      <c r="W28" s="1"/>
      <c r="X28" s="1"/>
    </row>
    <row r="29" spans="1:24" ht="24" customHeight="1" x14ac:dyDescent="0.35">
      <c r="A29" s="7" t="s">
        <v>62</v>
      </c>
      <c r="B29" s="8" t="s">
        <v>222</v>
      </c>
      <c r="C29" s="9" t="s">
        <v>215</v>
      </c>
      <c r="D29" s="8" t="s">
        <v>223</v>
      </c>
      <c r="E29" s="10" t="s">
        <v>183</v>
      </c>
      <c r="F29" s="10" t="s">
        <v>184</v>
      </c>
      <c r="G29" s="10" t="s">
        <v>184</v>
      </c>
      <c r="H29" s="10" t="s">
        <v>14</v>
      </c>
      <c r="I29" s="8" t="s">
        <v>14</v>
      </c>
      <c r="J29" s="10" t="s">
        <v>184</v>
      </c>
      <c r="K29" s="10" t="s">
        <v>184</v>
      </c>
      <c r="L29" s="11" t="s">
        <v>14</v>
      </c>
      <c r="M29" s="1"/>
      <c r="N29" s="1"/>
      <c r="O29" s="1"/>
      <c r="P29" s="1"/>
      <c r="Q29" s="1"/>
      <c r="R29" s="1"/>
      <c r="S29" s="1"/>
      <c r="T29" s="1"/>
      <c r="U29" s="1"/>
      <c r="V29" s="1"/>
      <c r="W29" s="1"/>
      <c r="X29" s="1"/>
    </row>
    <row r="30" spans="1:24" ht="24" customHeight="1" x14ac:dyDescent="0.35">
      <c r="A30" s="7" t="s">
        <v>65</v>
      </c>
      <c r="B30" s="8" t="s">
        <v>224</v>
      </c>
      <c r="C30" s="9" t="s">
        <v>215</v>
      </c>
      <c r="D30" s="8" t="s">
        <v>199</v>
      </c>
      <c r="E30" s="10" t="s">
        <v>183</v>
      </c>
      <c r="F30" s="10" t="s">
        <v>183</v>
      </c>
      <c r="G30" s="10" t="s">
        <v>183</v>
      </c>
      <c r="H30" s="10" t="s">
        <v>14</v>
      </c>
      <c r="I30" s="8" t="s">
        <v>14</v>
      </c>
      <c r="J30" s="10" t="s">
        <v>183</v>
      </c>
      <c r="K30" s="10" t="s">
        <v>183</v>
      </c>
      <c r="L30" s="11" t="s">
        <v>14</v>
      </c>
      <c r="M30" s="1"/>
      <c r="N30" s="1"/>
      <c r="O30" s="1"/>
      <c r="P30" s="1"/>
      <c r="Q30" s="1"/>
      <c r="R30" s="1"/>
      <c r="S30" s="1"/>
      <c r="T30" s="1"/>
      <c r="U30" s="1"/>
      <c r="V30" s="1"/>
      <c r="W30" s="1"/>
      <c r="X30" s="1"/>
    </row>
    <row r="31" spans="1:24" ht="14.65" customHeight="1" x14ac:dyDescent="0.35">
      <c r="A31" s="7" t="s">
        <v>67</v>
      </c>
      <c r="B31" s="8" t="s">
        <v>225</v>
      </c>
      <c r="C31" s="9" t="s">
        <v>215</v>
      </c>
      <c r="D31" s="8" t="s">
        <v>206</v>
      </c>
      <c r="E31" s="10" t="s">
        <v>183</v>
      </c>
      <c r="F31" s="10" t="s">
        <v>183</v>
      </c>
      <c r="G31" s="10" t="s">
        <v>183</v>
      </c>
      <c r="H31" s="10" t="s">
        <v>14</v>
      </c>
      <c r="I31" s="8" t="s">
        <v>14</v>
      </c>
      <c r="J31" s="10" t="s">
        <v>183</v>
      </c>
      <c r="K31" s="10" t="s">
        <v>183</v>
      </c>
      <c r="L31" s="11" t="s">
        <v>14</v>
      </c>
      <c r="M31" s="1"/>
      <c r="N31" s="1"/>
      <c r="O31" s="1"/>
      <c r="P31" s="1"/>
      <c r="Q31" s="1"/>
      <c r="R31" s="1"/>
      <c r="S31" s="1"/>
      <c r="T31" s="1"/>
      <c r="U31" s="1"/>
      <c r="V31" s="1"/>
      <c r="W31" s="1"/>
      <c r="X31" s="1"/>
    </row>
    <row r="32" spans="1:24" ht="24" customHeight="1" x14ac:dyDescent="0.35">
      <c r="A32" s="7" t="s">
        <v>68</v>
      </c>
      <c r="B32" s="8" t="s">
        <v>226</v>
      </c>
      <c r="C32" s="9" t="s">
        <v>215</v>
      </c>
      <c r="D32" s="8" t="s">
        <v>206</v>
      </c>
      <c r="E32" s="10" t="s">
        <v>183</v>
      </c>
      <c r="F32" s="10" t="s">
        <v>183</v>
      </c>
      <c r="G32" s="10" t="s">
        <v>183</v>
      </c>
      <c r="H32" s="10" t="s">
        <v>14</v>
      </c>
      <c r="I32" s="8" t="s">
        <v>14</v>
      </c>
      <c r="J32" s="10" t="s">
        <v>183</v>
      </c>
      <c r="K32" s="10" t="s">
        <v>183</v>
      </c>
      <c r="L32" s="11" t="s">
        <v>14</v>
      </c>
    </row>
    <row r="33" spans="1:12" ht="36" customHeight="1" x14ac:dyDescent="0.35">
      <c r="A33" s="7" t="s">
        <v>70</v>
      </c>
      <c r="B33" s="8" t="s">
        <v>227</v>
      </c>
      <c r="C33" s="9" t="s">
        <v>228</v>
      </c>
      <c r="D33" s="8" t="s">
        <v>229</v>
      </c>
      <c r="E33" s="10" t="s">
        <v>183</v>
      </c>
      <c r="F33" s="10" t="s">
        <v>183</v>
      </c>
      <c r="G33" s="10" t="s">
        <v>183</v>
      </c>
      <c r="H33" s="10" t="s">
        <v>14</v>
      </c>
      <c r="I33" s="8" t="s">
        <v>14</v>
      </c>
      <c r="J33" s="10" t="s">
        <v>183</v>
      </c>
      <c r="K33" s="10" t="s">
        <v>183</v>
      </c>
      <c r="L33" s="11" t="s">
        <v>14</v>
      </c>
    </row>
    <row r="34" spans="1:12" ht="48" customHeight="1" x14ac:dyDescent="0.35">
      <c r="A34" s="7" t="s">
        <v>74</v>
      </c>
      <c r="B34" s="8" t="s">
        <v>230</v>
      </c>
      <c r="C34" s="9" t="s">
        <v>228</v>
      </c>
      <c r="D34" s="8" t="s">
        <v>231</v>
      </c>
      <c r="E34" s="10" t="s">
        <v>183</v>
      </c>
      <c r="F34" s="10" t="s">
        <v>183</v>
      </c>
      <c r="G34" s="10" t="s">
        <v>183</v>
      </c>
      <c r="H34" s="10" t="s">
        <v>14</v>
      </c>
      <c r="I34" s="8" t="s">
        <v>14</v>
      </c>
      <c r="J34" s="10" t="s">
        <v>183</v>
      </c>
      <c r="K34" s="10" t="s">
        <v>184</v>
      </c>
      <c r="L34" s="11" t="s">
        <v>14</v>
      </c>
    </row>
    <row r="35" spans="1:12" ht="48" customHeight="1" x14ac:dyDescent="0.35">
      <c r="A35" s="7" t="s">
        <v>77</v>
      </c>
      <c r="B35" s="8" t="s">
        <v>232</v>
      </c>
      <c r="C35" s="9" t="s">
        <v>228</v>
      </c>
      <c r="D35" s="8" t="s">
        <v>231</v>
      </c>
      <c r="E35" s="10" t="s">
        <v>183</v>
      </c>
      <c r="F35" s="10" t="s">
        <v>183</v>
      </c>
      <c r="G35" s="10" t="s">
        <v>183</v>
      </c>
      <c r="H35" s="10" t="s">
        <v>14</v>
      </c>
      <c r="I35" s="8" t="s">
        <v>14</v>
      </c>
      <c r="J35" s="10" t="s">
        <v>183</v>
      </c>
      <c r="K35" s="10" t="s">
        <v>183</v>
      </c>
      <c r="L35" s="11" t="s">
        <v>14</v>
      </c>
    </row>
    <row r="36" spans="1:12" ht="48" customHeight="1" x14ac:dyDescent="0.35">
      <c r="A36" s="7" t="s">
        <v>79</v>
      </c>
      <c r="B36" s="8" t="s">
        <v>233</v>
      </c>
      <c r="C36" s="9" t="s">
        <v>228</v>
      </c>
      <c r="D36" s="8" t="s">
        <v>189</v>
      </c>
      <c r="E36" s="10" t="s">
        <v>183</v>
      </c>
      <c r="F36" s="10" t="s">
        <v>184</v>
      </c>
      <c r="G36" s="10" t="s">
        <v>184</v>
      </c>
      <c r="H36" s="10" t="s">
        <v>14</v>
      </c>
      <c r="I36" s="8" t="s">
        <v>14</v>
      </c>
      <c r="J36" s="10" t="s">
        <v>184</v>
      </c>
      <c r="K36" s="10" t="s">
        <v>184</v>
      </c>
      <c r="L36" s="11" t="s">
        <v>14</v>
      </c>
    </row>
    <row r="37" spans="1:12" ht="48" customHeight="1" x14ac:dyDescent="0.35">
      <c r="A37" s="7" t="s">
        <v>81</v>
      </c>
      <c r="B37" s="8" t="s">
        <v>234</v>
      </c>
      <c r="C37" s="9" t="s">
        <v>228</v>
      </c>
      <c r="D37" s="8" t="s">
        <v>189</v>
      </c>
      <c r="E37" s="10" t="s">
        <v>183</v>
      </c>
      <c r="F37" s="10" t="s">
        <v>184</v>
      </c>
      <c r="G37" s="10" t="s">
        <v>184</v>
      </c>
      <c r="H37" s="10" t="s">
        <v>14</v>
      </c>
      <c r="I37" s="8" t="s">
        <v>14</v>
      </c>
      <c r="J37" s="10" t="s">
        <v>184</v>
      </c>
      <c r="K37" s="10" t="s">
        <v>184</v>
      </c>
      <c r="L37" s="11" t="s">
        <v>14</v>
      </c>
    </row>
    <row r="38" spans="1:12" ht="24" customHeight="1" x14ac:dyDescent="0.35">
      <c r="A38" s="7" t="s">
        <v>83</v>
      </c>
      <c r="B38" s="8" t="s">
        <v>235</v>
      </c>
      <c r="C38" s="9" t="s">
        <v>228</v>
      </c>
      <c r="D38" s="8" t="s">
        <v>236</v>
      </c>
      <c r="E38" s="10" t="s">
        <v>183</v>
      </c>
      <c r="F38" s="10" t="s">
        <v>183</v>
      </c>
      <c r="G38" s="10" t="s">
        <v>183</v>
      </c>
      <c r="H38" s="10" t="s">
        <v>14</v>
      </c>
      <c r="I38" s="8" t="s">
        <v>14</v>
      </c>
      <c r="J38" s="10" t="s">
        <v>183</v>
      </c>
      <c r="K38" s="10" t="s">
        <v>183</v>
      </c>
      <c r="L38" s="11" t="s">
        <v>14</v>
      </c>
    </row>
    <row r="39" spans="1:12" ht="36" customHeight="1" x14ac:dyDescent="0.35">
      <c r="A39" s="7" t="s">
        <v>86</v>
      </c>
      <c r="B39" s="8" t="s">
        <v>237</v>
      </c>
      <c r="C39" s="9" t="s">
        <v>228</v>
      </c>
      <c r="D39" s="8" t="s">
        <v>206</v>
      </c>
      <c r="E39" s="10" t="s">
        <v>183</v>
      </c>
      <c r="F39" s="10" t="s">
        <v>184</v>
      </c>
      <c r="G39" s="10" t="s">
        <v>184</v>
      </c>
      <c r="H39" s="10" t="s">
        <v>14</v>
      </c>
      <c r="I39" s="8" t="s">
        <v>14</v>
      </c>
      <c r="J39" s="10" t="s">
        <v>184</v>
      </c>
      <c r="K39" s="10" t="s">
        <v>184</v>
      </c>
      <c r="L39" s="11" t="s">
        <v>14</v>
      </c>
    </row>
    <row r="40" spans="1:12" ht="36" customHeight="1" x14ac:dyDescent="0.35">
      <c r="A40" s="7" t="s">
        <v>88</v>
      </c>
      <c r="B40" s="8" t="s">
        <v>238</v>
      </c>
      <c r="C40" s="9" t="s">
        <v>228</v>
      </c>
      <c r="D40" s="8" t="s">
        <v>206</v>
      </c>
      <c r="E40" s="10" t="s">
        <v>183</v>
      </c>
      <c r="F40" s="10" t="s">
        <v>184</v>
      </c>
      <c r="G40" s="10" t="s">
        <v>184</v>
      </c>
      <c r="H40" s="10" t="s">
        <v>14</v>
      </c>
      <c r="I40" s="8" t="s">
        <v>14</v>
      </c>
      <c r="J40" s="10" t="s">
        <v>184</v>
      </c>
      <c r="K40" s="10" t="s">
        <v>184</v>
      </c>
      <c r="L40" s="11" t="s">
        <v>14</v>
      </c>
    </row>
    <row r="41" spans="1:12" ht="36" customHeight="1" x14ac:dyDescent="0.35">
      <c r="A41" s="7" t="s">
        <v>90</v>
      </c>
      <c r="B41" s="8" t="s">
        <v>239</v>
      </c>
      <c r="C41" s="9" t="s">
        <v>228</v>
      </c>
      <c r="D41" s="8" t="s">
        <v>206</v>
      </c>
      <c r="E41" s="10" t="s">
        <v>183</v>
      </c>
      <c r="F41" s="10" t="s">
        <v>184</v>
      </c>
      <c r="G41" s="10" t="s">
        <v>184</v>
      </c>
      <c r="H41" s="10" t="s">
        <v>14</v>
      </c>
      <c r="I41" s="8" t="s">
        <v>14</v>
      </c>
      <c r="J41" s="10" t="s">
        <v>184</v>
      </c>
      <c r="K41" s="10" t="s">
        <v>184</v>
      </c>
      <c r="L41" s="11" t="s">
        <v>14</v>
      </c>
    </row>
    <row r="42" spans="1:12" ht="24" customHeight="1" x14ac:dyDescent="0.35">
      <c r="A42" s="7" t="s">
        <v>92</v>
      </c>
      <c r="B42" s="8" t="s">
        <v>240</v>
      </c>
      <c r="C42" s="9" t="s">
        <v>228</v>
      </c>
      <c r="D42" s="8" t="s">
        <v>194</v>
      </c>
      <c r="E42" s="10" t="s">
        <v>183</v>
      </c>
      <c r="F42" s="10" t="s">
        <v>183</v>
      </c>
      <c r="G42" s="10" t="s">
        <v>183</v>
      </c>
      <c r="H42" s="10" t="s">
        <v>14</v>
      </c>
      <c r="I42" s="8" t="s">
        <v>14</v>
      </c>
      <c r="J42" s="10" t="s">
        <v>183</v>
      </c>
      <c r="K42" s="10" t="s">
        <v>184</v>
      </c>
      <c r="L42" s="11" t="s">
        <v>14</v>
      </c>
    </row>
    <row r="43" spans="1:12" ht="24" customHeight="1" x14ac:dyDescent="0.35">
      <c r="A43" s="7" t="s">
        <v>94</v>
      </c>
      <c r="B43" s="8" t="s">
        <v>241</v>
      </c>
      <c r="C43" s="9" t="s">
        <v>242</v>
      </c>
      <c r="D43" s="8" t="s">
        <v>203</v>
      </c>
      <c r="E43" s="10" t="s">
        <v>183</v>
      </c>
      <c r="F43" s="10" t="s">
        <v>183</v>
      </c>
      <c r="G43" s="10" t="s">
        <v>183</v>
      </c>
      <c r="H43" s="10" t="s">
        <v>14</v>
      </c>
      <c r="I43" s="8" t="s">
        <v>14</v>
      </c>
      <c r="J43" s="10" t="s">
        <v>184</v>
      </c>
      <c r="K43" s="10" t="s">
        <v>184</v>
      </c>
      <c r="L43" s="11" t="s">
        <v>14</v>
      </c>
    </row>
    <row r="44" spans="1:12" ht="24" customHeight="1" x14ac:dyDescent="0.35">
      <c r="A44" s="7" t="s">
        <v>97</v>
      </c>
      <c r="B44" s="8" t="s">
        <v>243</v>
      </c>
      <c r="C44" s="9" t="s">
        <v>242</v>
      </c>
      <c r="D44" s="8" t="s">
        <v>203</v>
      </c>
      <c r="E44" s="10" t="s">
        <v>183</v>
      </c>
      <c r="F44" s="10" t="s">
        <v>183</v>
      </c>
      <c r="G44" s="10" t="s">
        <v>183</v>
      </c>
      <c r="H44" s="10" t="s">
        <v>14</v>
      </c>
      <c r="I44" s="8" t="s">
        <v>14</v>
      </c>
      <c r="J44" s="10" t="s">
        <v>183</v>
      </c>
      <c r="K44" s="10" t="s">
        <v>184</v>
      </c>
      <c r="L44" s="11" t="s">
        <v>14</v>
      </c>
    </row>
    <row r="45" spans="1:12" ht="24" customHeight="1" x14ac:dyDescent="0.35">
      <c r="A45" s="7" t="s">
        <v>99</v>
      </c>
      <c r="B45" s="8" t="s">
        <v>244</v>
      </c>
      <c r="C45" s="9" t="s">
        <v>242</v>
      </c>
      <c r="D45" s="8" t="s">
        <v>203</v>
      </c>
      <c r="E45" s="10" t="s">
        <v>183</v>
      </c>
      <c r="F45" s="10" t="s">
        <v>183</v>
      </c>
      <c r="G45" s="10" t="s">
        <v>183</v>
      </c>
      <c r="H45" s="10" t="s">
        <v>14</v>
      </c>
      <c r="I45" s="8" t="s">
        <v>14</v>
      </c>
      <c r="J45" s="10" t="s">
        <v>183</v>
      </c>
      <c r="K45" s="10" t="s">
        <v>183</v>
      </c>
      <c r="L45" s="11" t="s">
        <v>14</v>
      </c>
    </row>
    <row r="46" spans="1:12" ht="24" customHeight="1" x14ac:dyDescent="0.35">
      <c r="A46" s="7" t="s">
        <v>101</v>
      </c>
      <c r="B46" s="8" t="s">
        <v>245</v>
      </c>
      <c r="C46" s="9" t="s">
        <v>242</v>
      </c>
      <c r="D46" s="8" t="s">
        <v>203</v>
      </c>
      <c r="E46" s="10" t="s">
        <v>183</v>
      </c>
      <c r="F46" s="10" t="s">
        <v>183</v>
      </c>
      <c r="G46" s="10" t="s">
        <v>183</v>
      </c>
      <c r="H46" s="10" t="s">
        <v>14</v>
      </c>
      <c r="I46" s="8" t="s">
        <v>14</v>
      </c>
      <c r="J46" s="10" t="s">
        <v>183</v>
      </c>
      <c r="K46" s="10" t="s">
        <v>184</v>
      </c>
      <c r="L46" s="11" t="s">
        <v>14</v>
      </c>
    </row>
    <row r="47" spans="1:12" ht="14.65" customHeight="1" x14ac:dyDescent="0.35">
      <c r="A47" s="7" t="s">
        <v>103</v>
      </c>
      <c r="B47" s="8" t="s">
        <v>246</v>
      </c>
      <c r="C47" s="9" t="s">
        <v>242</v>
      </c>
      <c r="D47" s="8" t="s">
        <v>203</v>
      </c>
      <c r="E47" s="10" t="s">
        <v>183</v>
      </c>
      <c r="F47" s="10" t="s">
        <v>183</v>
      </c>
      <c r="G47" s="10" t="s">
        <v>183</v>
      </c>
      <c r="H47" s="10" t="s">
        <v>14</v>
      </c>
      <c r="I47" s="8" t="s">
        <v>14</v>
      </c>
      <c r="J47" s="10" t="s">
        <v>183</v>
      </c>
      <c r="K47" s="10" t="s">
        <v>184</v>
      </c>
      <c r="L47" s="11" t="s">
        <v>14</v>
      </c>
    </row>
    <row r="48" spans="1:12" ht="24" customHeight="1" x14ac:dyDescent="0.35">
      <c r="A48" s="7" t="s">
        <v>105</v>
      </c>
      <c r="B48" s="8" t="s">
        <v>247</v>
      </c>
      <c r="C48" s="9" t="s">
        <v>242</v>
      </c>
      <c r="D48" s="8" t="s">
        <v>189</v>
      </c>
      <c r="E48" s="10" t="s">
        <v>183</v>
      </c>
      <c r="F48" s="10" t="s">
        <v>184</v>
      </c>
      <c r="G48" s="10" t="s">
        <v>184</v>
      </c>
      <c r="H48" s="10" t="s">
        <v>14</v>
      </c>
      <c r="I48" s="8" t="s">
        <v>14</v>
      </c>
      <c r="J48" s="10" t="s">
        <v>184</v>
      </c>
      <c r="K48" s="10" t="s">
        <v>184</v>
      </c>
      <c r="L48" s="11" t="s">
        <v>14</v>
      </c>
    </row>
    <row r="49" spans="1:12" ht="48" customHeight="1" x14ac:dyDescent="0.35">
      <c r="A49" s="7" t="s">
        <v>107</v>
      </c>
      <c r="B49" s="8" t="s">
        <v>248</v>
      </c>
      <c r="C49" s="9" t="s">
        <v>242</v>
      </c>
      <c r="D49" s="8" t="s">
        <v>189</v>
      </c>
      <c r="E49" s="10" t="s">
        <v>183</v>
      </c>
      <c r="F49" s="10" t="s">
        <v>184</v>
      </c>
      <c r="G49" s="10" t="s">
        <v>184</v>
      </c>
      <c r="H49" s="10" t="s">
        <v>14</v>
      </c>
      <c r="I49" s="8" t="s">
        <v>14</v>
      </c>
      <c r="J49" s="10" t="s">
        <v>184</v>
      </c>
      <c r="K49" s="10" t="s">
        <v>184</v>
      </c>
      <c r="L49" s="11" t="s">
        <v>14</v>
      </c>
    </row>
    <row r="50" spans="1:12" ht="24" customHeight="1" x14ac:dyDescent="0.35">
      <c r="A50" s="7" t="s">
        <v>109</v>
      </c>
      <c r="B50" s="8" t="s">
        <v>249</v>
      </c>
      <c r="C50" s="9" t="s">
        <v>242</v>
      </c>
      <c r="D50" s="8" t="s">
        <v>206</v>
      </c>
      <c r="E50" s="10" t="s">
        <v>183</v>
      </c>
      <c r="F50" s="10" t="s">
        <v>183</v>
      </c>
      <c r="G50" s="10" t="s">
        <v>183</v>
      </c>
      <c r="H50" s="10" t="s">
        <v>14</v>
      </c>
      <c r="I50" s="8" t="s">
        <v>14</v>
      </c>
      <c r="J50" s="10" t="s">
        <v>183</v>
      </c>
      <c r="K50" s="10" t="s">
        <v>183</v>
      </c>
      <c r="L50" s="11" t="s">
        <v>14</v>
      </c>
    </row>
    <row r="51" spans="1:12" ht="24" customHeight="1" x14ac:dyDescent="0.35">
      <c r="A51" s="7" t="s">
        <v>111</v>
      </c>
      <c r="B51" s="8" t="s">
        <v>250</v>
      </c>
      <c r="C51" s="9" t="s">
        <v>242</v>
      </c>
      <c r="D51" s="8" t="s">
        <v>191</v>
      </c>
      <c r="E51" s="10" t="s">
        <v>183</v>
      </c>
      <c r="F51" s="10" t="s">
        <v>183</v>
      </c>
      <c r="G51" s="10" t="s">
        <v>184</v>
      </c>
      <c r="H51" s="10" t="s">
        <v>14</v>
      </c>
      <c r="I51" s="8" t="s">
        <v>14</v>
      </c>
      <c r="J51" s="10" t="s">
        <v>184</v>
      </c>
      <c r="K51" s="10" t="s">
        <v>184</v>
      </c>
      <c r="L51" s="11" t="s">
        <v>14</v>
      </c>
    </row>
    <row r="52" spans="1:12" ht="24" customHeight="1" x14ac:dyDescent="0.35">
      <c r="A52" s="7" t="s">
        <v>113</v>
      </c>
      <c r="B52" s="8" t="s">
        <v>251</v>
      </c>
      <c r="C52" s="9" t="s">
        <v>242</v>
      </c>
      <c r="D52" s="8" t="s">
        <v>191</v>
      </c>
      <c r="E52" s="10" t="s">
        <v>183</v>
      </c>
      <c r="F52" s="10" t="s">
        <v>183</v>
      </c>
      <c r="G52" s="10" t="s">
        <v>184</v>
      </c>
      <c r="H52" s="10" t="s">
        <v>14</v>
      </c>
      <c r="I52" s="8" t="s">
        <v>14</v>
      </c>
      <c r="J52" s="10" t="s">
        <v>184</v>
      </c>
      <c r="K52" s="10" t="s">
        <v>184</v>
      </c>
      <c r="L52" s="11" t="s">
        <v>14</v>
      </c>
    </row>
    <row r="53" spans="1:12" ht="24" customHeight="1" x14ac:dyDescent="0.35">
      <c r="A53" s="7" t="s">
        <v>115</v>
      </c>
      <c r="B53" s="8" t="s">
        <v>252</v>
      </c>
      <c r="C53" s="9" t="s">
        <v>242</v>
      </c>
      <c r="D53" s="8" t="s">
        <v>191</v>
      </c>
      <c r="E53" s="10" t="s">
        <v>183</v>
      </c>
      <c r="F53" s="10" t="s">
        <v>183</v>
      </c>
      <c r="G53" s="10" t="s">
        <v>184</v>
      </c>
      <c r="H53" s="10" t="s">
        <v>14</v>
      </c>
      <c r="I53" s="8" t="s">
        <v>14</v>
      </c>
      <c r="J53" s="10" t="s">
        <v>184</v>
      </c>
      <c r="K53" s="10" t="s">
        <v>184</v>
      </c>
      <c r="L53" s="11" t="s">
        <v>14</v>
      </c>
    </row>
    <row r="54" spans="1:12" ht="36" customHeight="1" x14ac:dyDescent="0.35">
      <c r="A54" s="7" t="s">
        <v>117</v>
      </c>
      <c r="B54" s="8" t="s">
        <v>253</v>
      </c>
      <c r="C54" s="9" t="s">
        <v>254</v>
      </c>
      <c r="D54" s="8" t="s">
        <v>189</v>
      </c>
      <c r="E54" s="10" t="s">
        <v>183</v>
      </c>
      <c r="F54" s="10" t="s">
        <v>184</v>
      </c>
      <c r="G54" s="10" t="s">
        <v>184</v>
      </c>
      <c r="H54" s="10" t="s">
        <v>14</v>
      </c>
      <c r="I54" s="8" t="s">
        <v>14</v>
      </c>
      <c r="J54" s="10" t="s">
        <v>184</v>
      </c>
      <c r="K54" s="10" t="s">
        <v>184</v>
      </c>
      <c r="L54" s="11" t="s">
        <v>14</v>
      </c>
    </row>
    <row r="55" spans="1:12" ht="14.65" customHeight="1" x14ac:dyDescent="0.35">
      <c r="A55" s="7" t="s">
        <v>119</v>
      </c>
      <c r="B55" s="8" t="s">
        <v>255</v>
      </c>
      <c r="C55" s="9" t="s">
        <v>254</v>
      </c>
      <c r="D55" s="8" t="s">
        <v>189</v>
      </c>
      <c r="E55" s="10" t="s">
        <v>183</v>
      </c>
      <c r="F55" s="10" t="s">
        <v>184</v>
      </c>
      <c r="G55" s="10" t="s">
        <v>184</v>
      </c>
      <c r="H55" s="10" t="s">
        <v>14</v>
      </c>
      <c r="I55" s="8" t="s">
        <v>14</v>
      </c>
      <c r="J55" s="10" t="s">
        <v>184</v>
      </c>
      <c r="K55" s="10" t="s">
        <v>184</v>
      </c>
      <c r="L55" s="11" t="s">
        <v>14</v>
      </c>
    </row>
    <row r="56" spans="1:12" ht="14.65" customHeight="1" x14ac:dyDescent="0.35">
      <c r="A56" s="7" t="s">
        <v>120</v>
      </c>
      <c r="B56" s="8" t="s">
        <v>256</v>
      </c>
      <c r="C56" s="9" t="s">
        <v>254</v>
      </c>
      <c r="D56" s="8" t="s">
        <v>206</v>
      </c>
      <c r="E56" s="10" t="s">
        <v>183</v>
      </c>
      <c r="F56" s="10" t="s">
        <v>183</v>
      </c>
      <c r="G56" s="10" t="s">
        <v>183</v>
      </c>
      <c r="H56" s="10" t="s">
        <v>14</v>
      </c>
      <c r="I56" s="8" t="s">
        <v>14</v>
      </c>
      <c r="J56" s="10" t="s">
        <v>183</v>
      </c>
      <c r="K56" s="10" t="s">
        <v>183</v>
      </c>
      <c r="L56" s="11" t="s">
        <v>14</v>
      </c>
    </row>
    <row r="57" spans="1:12" ht="14.65" customHeight="1" x14ac:dyDescent="0.35">
      <c r="A57" s="7" t="s">
        <v>121</v>
      </c>
      <c r="B57" s="8" t="s">
        <v>257</v>
      </c>
      <c r="C57" s="9" t="s">
        <v>254</v>
      </c>
      <c r="D57" s="8" t="s">
        <v>191</v>
      </c>
      <c r="E57" s="10" t="s">
        <v>183</v>
      </c>
      <c r="F57" s="10" t="s">
        <v>183</v>
      </c>
      <c r="G57" s="10" t="s">
        <v>184</v>
      </c>
      <c r="H57" s="10" t="s">
        <v>14</v>
      </c>
      <c r="I57" s="8" t="s">
        <v>14</v>
      </c>
      <c r="J57" s="10" t="s">
        <v>184</v>
      </c>
      <c r="K57" s="10" t="s">
        <v>184</v>
      </c>
      <c r="L57" s="11" t="s">
        <v>14</v>
      </c>
    </row>
    <row r="58" spans="1:12" ht="14.65" customHeight="1" x14ac:dyDescent="0.35">
      <c r="A58" s="7" t="s">
        <v>122</v>
      </c>
      <c r="B58" s="8" t="s">
        <v>258</v>
      </c>
      <c r="C58" s="9" t="s">
        <v>254</v>
      </c>
      <c r="D58" s="8" t="s">
        <v>191</v>
      </c>
      <c r="E58" s="10" t="s">
        <v>183</v>
      </c>
      <c r="F58" s="10" t="s">
        <v>183</v>
      </c>
      <c r="G58" s="10" t="s">
        <v>184</v>
      </c>
      <c r="H58" s="10" t="s">
        <v>14</v>
      </c>
      <c r="I58" s="8" t="s">
        <v>14</v>
      </c>
      <c r="J58" s="10" t="s">
        <v>184</v>
      </c>
      <c r="K58" s="10" t="s">
        <v>184</v>
      </c>
      <c r="L58" s="11" t="s">
        <v>14</v>
      </c>
    </row>
    <row r="59" spans="1:12" ht="14.65" customHeight="1" x14ac:dyDescent="0.35">
      <c r="A59" s="7" t="s">
        <v>123</v>
      </c>
      <c r="B59" s="8" t="s">
        <v>259</v>
      </c>
      <c r="C59" s="9" t="s">
        <v>254</v>
      </c>
      <c r="D59" s="8" t="s">
        <v>260</v>
      </c>
      <c r="E59" s="10" t="s">
        <v>183</v>
      </c>
      <c r="F59" s="10" t="s">
        <v>183</v>
      </c>
      <c r="G59" s="10" t="s">
        <v>183</v>
      </c>
      <c r="H59" s="10" t="s">
        <v>14</v>
      </c>
      <c r="I59" s="8" t="s">
        <v>14</v>
      </c>
      <c r="J59" s="10" t="s">
        <v>184</v>
      </c>
      <c r="K59" s="10" t="s">
        <v>184</v>
      </c>
      <c r="L59" s="11" t="s">
        <v>14</v>
      </c>
    </row>
    <row r="60" spans="1:12" ht="24" customHeight="1" x14ac:dyDescent="0.35">
      <c r="A60" s="7" t="s">
        <v>126</v>
      </c>
      <c r="B60" s="8" t="s">
        <v>261</v>
      </c>
      <c r="C60" s="9" t="s">
        <v>254</v>
      </c>
      <c r="D60" s="8" t="s">
        <v>229</v>
      </c>
      <c r="E60" s="10" t="s">
        <v>183</v>
      </c>
      <c r="F60" s="10" t="s">
        <v>184</v>
      </c>
      <c r="G60" s="10" t="s">
        <v>184</v>
      </c>
      <c r="H60" s="10" t="s">
        <v>14</v>
      </c>
      <c r="I60" s="8" t="s">
        <v>14</v>
      </c>
      <c r="J60" s="10" t="s">
        <v>184</v>
      </c>
      <c r="K60" s="10" t="s">
        <v>184</v>
      </c>
      <c r="L60" s="11" t="s">
        <v>14</v>
      </c>
    </row>
    <row r="61" spans="1:12" ht="24" customHeight="1" x14ac:dyDescent="0.35">
      <c r="A61" s="7" t="s">
        <v>127</v>
      </c>
      <c r="B61" s="8" t="s">
        <v>262</v>
      </c>
      <c r="C61" s="9" t="s">
        <v>254</v>
      </c>
      <c r="D61" s="8" t="s">
        <v>189</v>
      </c>
      <c r="E61" s="10" t="s">
        <v>183</v>
      </c>
      <c r="F61" s="10" t="s">
        <v>183</v>
      </c>
      <c r="G61" s="10" t="s">
        <v>183</v>
      </c>
      <c r="H61" s="10" t="s">
        <v>14</v>
      </c>
      <c r="I61" s="8" t="s">
        <v>14</v>
      </c>
      <c r="J61" s="10" t="s">
        <v>183</v>
      </c>
      <c r="K61" s="10" t="s">
        <v>184</v>
      </c>
      <c r="L61" s="11" t="s">
        <v>14</v>
      </c>
    </row>
    <row r="62" spans="1:12" ht="14.65" customHeight="1" x14ac:dyDescent="0.35">
      <c r="A62" s="7" t="s">
        <v>128</v>
      </c>
      <c r="B62" s="8" t="s">
        <v>263</v>
      </c>
      <c r="C62" s="9" t="s">
        <v>264</v>
      </c>
      <c r="D62" s="8" t="s">
        <v>191</v>
      </c>
      <c r="E62" s="10" t="s">
        <v>183</v>
      </c>
      <c r="F62" s="10" t="s">
        <v>184</v>
      </c>
      <c r="G62" s="10" t="s">
        <v>184</v>
      </c>
      <c r="H62" s="10" t="s">
        <v>14</v>
      </c>
      <c r="I62" s="8" t="s">
        <v>14</v>
      </c>
      <c r="J62" s="10" t="s">
        <v>184</v>
      </c>
      <c r="K62" s="10" t="s">
        <v>184</v>
      </c>
      <c r="L62" s="11" t="s">
        <v>14</v>
      </c>
    </row>
    <row r="63" spans="1:12" ht="14.65" customHeight="1" x14ac:dyDescent="0.35">
      <c r="A63" s="7" t="s">
        <v>131</v>
      </c>
      <c r="B63" s="8" t="s">
        <v>265</v>
      </c>
      <c r="C63" s="9" t="s">
        <v>264</v>
      </c>
      <c r="D63" s="8" t="s">
        <v>191</v>
      </c>
      <c r="E63" s="10" t="s">
        <v>183</v>
      </c>
      <c r="F63" s="10" t="s">
        <v>183</v>
      </c>
      <c r="G63" s="10" t="s">
        <v>184</v>
      </c>
      <c r="H63" s="10" t="s">
        <v>14</v>
      </c>
      <c r="I63" s="8" t="s">
        <v>14</v>
      </c>
      <c r="J63" s="10" t="s">
        <v>184</v>
      </c>
      <c r="K63" s="10" t="s">
        <v>184</v>
      </c>
      <c r="L63" s="11" t="s">
        <v>14</v>
      </c>
    </row>
    <row r="64" spans="1:12" ht="14.65" customHeight="1" x14ac:dyDescent="0.35">
      <c r="A64" s="7" t="s">
        <v>133</v>
      </c>
      <c r="B64" s="8" t="s">
        <v>266</v>
      </c>
      <c r="C64" s="9" t="s">
        <v>264</v>
      </c>
      <c r="D64" s="8" t="s">
        <v>194</v>
      </c>
      <c r="E64" s="10" t="s">
        <v>183</v>
      </c>
      <c r="F64" s="10" t="s">
        <v>183</v>
      </c>
      <c r="G64" s="10" t="s">
        <v>183</v>
      </c>
      <c r="H64" s="10" t="s">
        <v>14</v>
      </c>
      <c r="I64" s="8" t="s">
        <v>14</v>
      </c>
      <c r="J64" s="10" t="s">
        <v>183</v>
      </c>
      <c r="K64" s="10" t="s">
        <v>184</v>
      </c>
      <c r="L64" s="11" t="s">
        <v>14</v>
      </c>
    </row>
    <row r="65" spans="1:12" ht="14.65" customHeight="1" x14ac:dyDescent="0.35">
      <c r="A65" s="7" t="s">
        <v>135</v>
      </c>
      <c r="B65" s="8" t="s">
        <v>267</v>
      </c>
      <c r="C65" s="9" t="s">
        <v>264</v>
      </c>
      <c r="D65" s="8" t="s">
        <v>189</v>
      </c>
      <c r="E65" s="10" t="s">
        <v>183</v>
      </c>
      <c r="F65" s="10" t="s">
        <v>184</v>
      </c>
      <c r="G65" s="10" t="s">
        <v>184</v>
      </c>
      <c r="H65" s="10" t="s">
        <v>14</v>
      </c>
      <c r="I65" s="8" t="s">
        <v>14</v>
      </c>
      <c r="J65" s="10" t="s">
        <v>184</v>
      </c>
      <c r="K65" s="10" t="s">
        <v>184</v>
      </c>
      <c r="L65" s="11" t="s">
        <v>14</v>
      </c>
    </row>
    <row r="66" spans="1:12" ht="14.65" customHeight="1" x14ac:dyDescent="0.35">
      <c r="A66" s="7" t="s">
        <v>137</v>
      </c>
      <c r="B66" s="8" t="s">
        <v>268</v>
      </c>
      <c r="C66" s="9" t="s">
        <v>264</v>
      </c>
      <c r="D66" s="8" t="s">
        <v>203</v>
      </c>
      <c r="E66" s="10" t="s">
        <v>183</v>
      </c>
      <c r="F66" s="10" t="s">
        <v>183</v>
      </c>
      <c r="G66" s="10" t="s">
        <v>183</v>
      </c>
      <c r="H66" s="10" t="s">
        <v>14</v>
      </c>
      <c r="I66" s="8" t="s">
        <v>14</v>
      </c>
      <c r="J66" s="10" t="s">
        <v>183</v>
      </c>
      <c r="K66" s="10" t="s">
        <v>184</v>
      </c>
      <c r="L66" s="11" t="s">
        <v>14</v>
      </c>
    </row>
    <row r="67" spans="1:12" ht="24" customHeight="1" x14ac:dyDescent="0.35">
      <c r="A67" s="7" t="s">
        <v>139</v>
      </c>
      <c r="B67" s="8" t="s">
        <v>269</v>
      </c>
      <c r="C67" s="9" t="s">
        <v>264</v>
      </c>
      <c r="D67" s="8" t="s">
        <v>270</v>
      </c>
      <c r="E67" s="10" t="s">
        <v>183</v>
      </c>
      <c r="F67" s="10" t="s">
        <v>183</v>
      </c>
      <c r="G67" s="10" t="s">
        <v>183</v>
      </c>
      <c r="H67" s="10" t="s">
        <v>14</v>
      </c>
      <c r="I67" s="8" t="s">
        <v>14</v>
      </c>
      <c r="J67" s="10" t="s">
        <v>184</v>
      </c>
      <c r="K67" s="10" t="s">
        <v>184</v>
      </c>
      <c r="L67" s="11" t="s">
        <v>14</v>
      </c>
    </row>
    <row r="68" spans="1:12" ht="24" customHeight="1" x14ac:dyDescent="0.35">
      <c r="A68" s="7" t="s">
        <v>142</v>
      </c>
      <c r="B68" s="8" t="s">
        <v>271</v>
      </c>
      <c r="C68" s="9" t="s">
        <v>264</v>
      </c>
      <c r="D68" s="8" t="s">
        <v>206</v>
      </c>
      <c r="E68" s="10" t="s">
        <v>183</v>
      </c>
      <c r="F68" s="10" t="s">
        <v>183</v>
      </c>
      <c r="G68" s="10" t="s">
        <v>183</v>
      </c>
      <c r="H68" s="10" t="s">
        <v>14</v>
      </c>
      <c r="I68" s="8" t="s">
        <v>14</v>
      </c>
      <c r="J68" s="10" t="s">
        <v>183</v>
      </c>
      <c r="K68" s="10" t="s">
        <v>184</v>
      </c>
      <c r="L68" s="11" t="s">
        <v>14</v>
      </c>
    </row>
    <row r="69" spans="1:12" ht="14.65" customHeight="1" x14ac:dyDescent="0.35">
      <c r="A69" s="7" t="s">
        <v>144</v>
      </c>
      <c r="B69" s="8" t="s">
        <v>272</v>
      </c>
      <c r="C69" s="9" t="s">
        <v>264</v>
      </c>
      <c r="D69" s="8" t="s">
        <v>189</v>
      </c>
      <c r="E69" s="10" t="s">
        <v>183</v>
      </c>
      <c r="F69" s="10" t="s">
        <v>184</v>
      </c>
      <c r="G69" s="10" t="s">
        <v>184</v>
      </c>
      <c r="H69" s="10" t="s">
        <v>14</v>
      </c>
      <c r="I69" s="8" t="s">
        <v>14</v>
      </c>
      <c r="J69" s="10" t="s">
        <v>184</v>
      </c>
      <c r="K69" s="10" t="s">
        <v>184</v>
      </c>
      <c r="L69" s="11" t="s">
        <v>14</v>
      </c>
    </row>
    <row r="70" spans="1:12" ht="48" customHeight="1" x14ac:dyDescent="0.35">
      <c r="A70" s="7" t="s">
        <v>146</v>
      </c>
      <c r="B70" s="8" t="s">
        <v>273</v>
      </c>
      <c r="C70" s="9" t="s">
        <v>264</v>
      </c>
      <c r="D70" s="8" t="s">
        <v>14</v>
      </c>
      <c r="E70" s="10" t="s">
        <v>183</v>
      </c>
      <c r="F70" s="10" t="s">
        <v>183</v>
      </c>
      <c r="G70" s="10" t="s">
        <v>183</v>
      </c>
      <c r="H70" s="10" t="s">
        <v>14</v>
      </c>
      <c r="I70" s="8" t="s">
        <v>14</v>
      </c>
      <c r="J70" s="10" t="s">
        <v>183</v>
      </c>
      <c r="K70" s="10" t="s">
        <v>183</v>
      </c>
      <c r="L70" s="11" t="s">
        <v>14</v>
      </c>
    </row>
    <row r="71" spans="1:12" ht="24" customHeight="1" x14ac:dyDescent="0.35">
      <c r="A71" s="7" t="s">
        <v>148</v>
      </c>
      <c r="B71" s="8" t="s">
        <v>274</v>
      </c>
      <c r="C71" s="9" t="s">
        <v>264</v>
      </c>
      <c r="D71" s="8" t="s">
        <v>14</v>
      </c>
      <c r="E71" s="10" t="s">
        <v>183</v>
      </c>
      <c r="F71" s="10" t="s">
        <v>183</v>
      </c>
      <c r="G71" s="10" t="s">
        <v>183</v>
      </c>
      <c r="H71" s="10" t="s">
        <v>14</v>
      </c>
      <c r="I71" s="8" t="s">
        <v>14</v>
      </c>
      <c r="J71" s="10" t="s">
        <v>183</v>
      </c>
      <c r="K71" s="10" t="s">
        <v>183</v>
      </c>
      <c r="L71" s="11" t="s">
        <v>14</v>
      </c>
    </row>
    <row r="72" spans="1:12" ht="14.65" customHeight="1" x14ac:dyDescent="0.35">
      <c r="A72" s="7" t="s">
        <v>149</v>
      </c>
      <c r="B72" s="8" t="s">
        <v>275</v>
      </c>
      <c r="C72" s="9" t="s">
        <v>264</v>
      </c>
      <c r="D72" s="8" t="s">
        <v>14</v>
      </c>
      <c r="E72" s="10" t="s">
        <v>183</v>
      </c>
      <c r="F72" s="10" t="s">
        <v>183</v>
      </c>
      <c r="G72" s="10" t="s">
        <v>183</v>
      </c>
      <c r="H72" s="10" t="s">
        <v>14</v>
      </c>
      <c r="I72" s="8" t="s">
        <v>14</v>
      </c>
      <c r="J72" s="10" t="s">
        <v>183</v>
      </c>
      <c r="K72" s="10" t="s">
        <v>183</v>
      </c>
      <c r="L72" s="11" t="s">
        <v>14</v>
      </c>
    </row>
    <row r="73" spans="1:12" ht="24" customHeight="1" x14ac:dyDescent="0.35">
      <c r="A73" s="7" t="s">
        <v>150</v>
      </c>
      <c r="B73" s="8" t="s">
        <v>276</v>
      </c>
      <c r="C73" s="9" t="s">
        <v>264</v>
      </c>
      <c r="D73" s="8" t="s">
        <v>189</v>
      </c>
      <c r="E73" s="10" t="s">
        <v>183</v>
      </c>
      <c r="F73" s="10" t="s">
        <v>184</v>
      </c>
      <c r="G73" s="10" t="s">
        <v>184</v>
      </c>
      <c r="H73" s="10" t="s">
        <v>14</v>
      </c>
      <c r="I73" s="8" t="s">
        <v>14</v>
      </c>
      <c r="J73" s="10" t="s">
        <v>184</v>
      </c>
      <c r="K73" s="10" t="s">
        <v>184</v>
      </c>
      <c r="L73" s="11" t="s">
        <v>14</v>
      </c>
    </row>
    <row r="74" spans="1:12" ht="14.65" customHeight="1" x14ac:dyDescent="0.35">
      <c r="A74" s="7" t="s">
        <v>151</v>
      </c>
      <c r="B74" s="8" t="s">
        <v>277</v>
      </c>
      <c r="C74" s="9" t="s">
        <v>264</v>
      </c>
      <c r="D74" s="8" t="s">
        <v>203</v>
      </c>
      <c r="E74" s="10" t="s">
        <v>183</v>
      </c>
      <c r="F74" s="10" t="s">
        <v>183</v>
      </c>
      <c r="G74" s="10" t="s">
        <v>183</v>
      </c>
      <c r="H74" s="10" t="s">
        <v>14</v>
      </c>
      <c r="I74" s="8" t="s">
        <v>14</v>
      </c>
      <c r="J74" s="10" t="s">
        <v>183</v>
      </c>
      <c r="K74" s="10" t="s">
        <v>183</v>
      </c>
      <c r="L74" s="11" t="s">
        <v>14</v>
      </c>
    </row>
    <row r="75" spans="1:12" ht="14.65" customHeight="1" x14ac:dyDescent="0.35">
      <c r="A75" s="7" t="s">
        <v>153</v>
      </c>
      <c r="B75" s="8" t="s">
        <v>278</v>
      </c>
      <c r="C75" s="9" t="s">
        <v>264</v>
      </c>
      <c r="D75" s="8" t="s">
        <v>189</v>
      </c>
      <c r="E75" s="10" t="s">
        <v>183</v>
      </c>
      <c r="F75" s="10" t="s">
        <v>183</v>
      </c>
      <c r="G75" s="10" t="s">
        <v>183</v>
      </c>
      <c r="H75" s="10" t="s">
        <v>14</v>
      </c>
      <c r="I75" s="8" t="s">
        <v>14</v>
      </c>
      <c r="J75" s="10" t="s">
        <v>183</v>
      </c>
      <c r="K75" s="10" t="s">
        <v>183</v>
      </c>
      <c r="L75" s="11" t="s">
        <v>14</v>
      </c>
    </row>
    <row r="76" spans="1:12" ht="24" customHeight="1" x14ac:dyDescent="0.35">
      <c r="A76" s="7" t="s">
        <v>155</v>
      </c>
      <c r="B76" s="8" t="s">
        <v>279</v>
      </c>
      <c r="C76" s="9" t="s">
        <v>264</v>
      </c>
      <c r="D76" s="8" t="s">
        <v>189</v>
      </c>
      <c r="E76" s="10" t="s">
        <v>183</v>
      </c>
      <c r="F76" s="10" t="s">
        <v>184</v>
      </c>
      <c r="G76" s="10" t="s">
        <v>184</v>
      </c>
      <c r="H76" s="10" t="s">
        <v>14</v>
      </c>
      <c r="I76" s="8" t="s">
        <v>14</v>
      </c>
      <c r="J76" s="10" t="s">
        <v>184</v>
      </c>
      <c r="K76" s="10" t="s">
        <v>184</v>
      </c>
      <c r="L76" s="11" t="s">
        <v>14</v>
      </c>
    </row>
    <row r="77" spans="1:12" ht="36" customHeight="1" x14ac:dyDescent="0.35">
      <c r="A77" s="7" t="s">
        <v>157</v>
      </c>
      <c r="B77" s="8" t="s">
        <v>280</v>
      </c>
      <c r="C77" s="9" t="s">
        <v>281</v>
      </c>
      <c r="D77" s="8" t="s">
        <v>189</v>
      </c>
      <c r="E77" s="10" t="s">
        <v>183</v>
      </c>
      <c r="F77" s="10" t="s">
        <v>184</v>
      </c>
      <c r="G77" s="10" t="s">
        <v>184</v>
      </c>
      <c r="H77" s="10" t="s">
        <v>14</v>
      </c>
      <c r="I77" s="8" t="s">
        <v>14</v>
      </c>
      <c r="J77" s="10" t="s">
        <v>184</v>
      </c>
      <c r="K77" s="10" t="s">
        <v>184</v>
      </c>
      <c r="L77" s="11" t="s">
        <v>14</v>
      </c>
    </row>
    <row r="78" spans="1:12" ht="24" customHeight="1" x14ac:dyDescent="0.35">
      <c r="A78" s="7" t="s">
        <v>160</v>
      </c>
      <c r="B78" s="8" t="s">
        <v>282</v>
      </c>
      <c r="C78" s="9" t="s">
        <v>281</v>
      </c>
      <c r="D78" s="8" t="s">
        <v>189</v>
      </c>
      <c r="E78" s="10" t="s">
        <v>183</v>
      </c>
      <c r="F78" s="10" t="s">
        <v>184</v>
      </c>
      <c r="G78" s="10" t="s">
        <v>184</v>
      </c>
      <c r="H78" s="10" t="s">
        <v>14</v>
      </c>
      <c r="I78" s="8" t="s">
        <v>14</v>
      </c>
      <c r="J78" s="10" t="s">
        <v>184</v>
      </c>
      <c r="K78" s="10" t="s">
        <v>184</v>
      </c>
      <c r="L78" s="11" t="s">
        <v>14</v>
      </c>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200-000000000000}">
          <x14:formula1>
            <xm:f>Lists!$B$2:$B$9</xm:f>
          </x14:formula1>
          <xm:sqref>C2:C500</xm:sqref>
        </x14:dataValidation>
        <x14:dataValidation type="list" allowBlank="1" xr:uid="{00000000-0002-0000-0200-000001000000}">
          <x14:formula1>
            <xm:f>Lists!$D$2:$D$17</xm:f>
          </x14:formula1>
          <xm:sqref>D2:D500</xm:sqref>
        </x14:dataValidation>
        <x14:dataValidation type="list" allowBlank="1" xr:uid="{00000000-0002-0000-0200-000002000000}">
          <x14:formula1>
            <xm:f>Lists!$F$2:$F$4</xm:f>
          </x14:formula1>
          <xm:sqref>J2:K500 E2:H500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5"/>
  <sheetViews>
    <sheetView workbookViewId="0">
      <selection activeCell="C3" sqref="C3"/>
    </sheetView>
  </sheetViews>
  <sheetFormatPr defaultRowHeight="14.5" x14ac:dyDescent="0.35"/>
  <cols>
    <col min="1" max="1" width="31.1796875" customWidth="1"/>
    <col min="2" max="2" width="38.81640625" customWidth="1"/>
    <col min="3" max="3" width="59.36328125" customWidth="1"/>
    <col min="4" max="4" width="55.08984375" customWidth="1"/>
    <col min="5" max="5" width="14.90625" customWidth="1"/>
    <col min="6" max="6" width="26.7265625" customWidth="1"/>
  </cols>
  <sheetData>
    <row r="1" spans="1:6" x14ac:dyDescent="0.35">
      <c r="A1" t="s">
        <v>283</v>
      </c>
      <c r="B1" t="s">
        <v>284</v>
      </c>
      <c r="C1" t="s">
        <v>285</v>
      </c>
      <c r="D1" t="s">
        <v>286</v>
      </c>
      <c r="E1" t="s">
        <v>287</v>
      </c>
      <c r="F1" t="s">
        <v>288</v>
      </c>
    </row>
    <row r="2" spans="1:6" x14ac:dyDescent="0.35">
      <c r="A2" t="s">
        <v>10</v>
      </c>
      <c r="B2" t="s">
        <v>181</v>
      </c>
      <c r="C2" s="4" t="s">
        <v>19</v>
      </c>
      <c r="D2" s="32" t="s">
        <v>189</v>
      </c>
      <c r="E2" t="s">
        <v>12</v>
      </c>
      <c r="F2" t="s">
        <v>183</v>
      </c>
    </row>
    <row r="3" spans="1:6" x14ac:dyDescent="0.35">
      <c r="A3" t="s">
        <v>23</v>
      </c>
      <c r="B3" t="s">
        <v>193</v>
      </c>
      <c r="C3" s="4" t="s">
        <v>76</v>
      </c>
      <c r="D3" s="32" t="s">
        <v>292</v>
      </c>
      <c r="E3" t="s">
        <v>13</v>
      </c>
      <c r="F3" t="s">
        <v>184</v>
      </c>
    </row>
    <row r="4" spans="1:6" x14ac:dyDescent="0.35">
      <c r="A4" t="s">
        <v>50</v>
      </c>
      <c r="B4" t="s">
        <v>215</v>
      </c>
      <c r="C4" s="4" t="s">
        <v>297</v>
      </c>
      <c r="D4" s="32" t="s">
        <v>182</v>
      </c>
      <c r="E4" t="s">
        <v>289</v>
      </c>
      <c r="F4" t="s">
        <v>290</v>
      </c>
    </row>
    <row r="5" spans="1:6" x14ac:dyDescent="0.35">
      <c r="A5" t="s">
        <v>72</v>
      </c>
      <c r="B5" t="s">
        <v>228</v>
      </c>
      <c r="C5" s="4" t="s">
        <v>296</v>
      </c>
      <c r="D5" s="32" t="s">
        <v>203</v>
      </c>
    </row>
    <row r="6" spans="1:6" x14ac:dyDescent="0.35">
      <c r="A6" t="s">
        <v>96</v>
      </c>
      <c r="B6" t="s">
        <v>242</v>
      </c>
      <c r="C6" s="4" t="s">
        <v>300</v>
      </c>
      <c r="D6" s="32" t="s">
        <v>291</v>
      </c>
    </row>
    <row r="7" spans="1:6" x14ac:dyDescent="0.35">
      <c r="A7" t="s">
        <v>118</v>
      </c>
      <c r="B7" t="s">
        <v>254</v>
      </c>
      <c r="C7" s="4" t="s">
        <v>299</v>
      </c>
      <c r="D7" s="32" t="s">
        <v>293</v>
      </c>
    </row>
    <row r="8" spans="1:6" ht="29" x14ac:dyDescent="0.35">
      <c r="A8" t="s">
        <v>130</v>
      </c>
      <c r="B8" t="s">
        <v>264</v>
      </c>
      <c r="C8" s="4" t="s">
        <v>16</v>
      </c>
      <c r="D8" s="32" t="s">
        <v>186</v>
      </c>
    </row>
    <row r="9" spans="1:6" x14ac:dyDescent="0.35">
      <c r="A9" t="s">
        <v>159</v>
      </c>
      <c r="B9" t="s">
        <v>281</v>
      </c>
      <c r="C9" t="s">
        <v>30</v>
      </c>
      <c r="D9" s="32" t="s">
        <v>199</v>
      </c>
    </row>
    <row r="10" spans="1:6" x14ac:dyDescent="0.35">
      <c r="C10" t="s">
        <v>24</v>
      </c>
      <c r="D10" s="32" t="s">
        <v>194</v>
      </c>
    </row>
    <row r="11" spans="1:6" x14ac:dyDescent="0.35">
      <c r="C11" s="4" t="s">
        <v>21</v>
      </c>
      <c r="D11" s="32" t="s">
        <v>191</v>
      </c>
    </row>
    <row r="12" spans="1:6" x14ac:dyDescent="0.35">
      <c r="C12" s="4" t="s">
        <v>61</v>
      </c>
      <c r="D12" s="32" t="s">
        <v>294</v>
      </c>
    </row>
    <row r="13" spans="1:6" x14ac:dyDescent="0.35">
      <c r="C13" t="s">
        <v>295</v>
      </c>
      <c r="D13" s="32" t="s">
        <v>229</v>
      </c>
    </row>
    <row r="14" spans="1:6" x14ac:dyDescent="0.35">
      <c r="C14" s="4" t="s">
        <v>27</v>
      </c>
      <c r="D14" s="32" t="s">
        <v>197</v>
      </c>
    </row>
    <row r="15" spans="1:6" ht="29" x14ac:dyDescent="0.35">
      <c r="C15" s="4" t="s">
        <v>64</v>
      </c>
      <c r="D15" s="32" t="s">
        <v>223</v>
      </c>
    </row>
    <row r="16" spans="1:6" x14ac:dyDescent="0.35">
      <c r="C16" s="4" t="s">
        <v>40</v>
      </c>
      <c r="D16" s="32" t="s">
        <v>206</v>
      </c>
    </row>
    <row r="17" spans="3:4" ht="29" x14ac:dyDescent="0.35">
      <c r="C17" s="34" t="s">
        <v>298</v>
      </c>
      <c r="D17" s="33" t="s">
        <v>236</v>
      </c>
    </row>
    <row r="18" spans="3:4" x14ac:dyDescent="0.35">
      <c r="C18" s="4" t="s">
        <v>425</v>
      </c>
    </row>
    <row r="19" spans="3:4" x14ac:dyDescent="0.35">
      <c r="C19" s="4" t="s">
        <v>388</v>
      </c>
    </row>
    <row r="20" spans="3:4" x14ac:dyDescent="0.35">
      <c r="C20" s="4"/>
    </row>
    <row r="21" spans="3:4" x14ac:dyDescent="0.35">
      <c r="C21" s="4"/>
    </row>
    <row r="22" spans="3:4" x14ac:dyDescent="0.35">
      <c r="C22" s="4"/>
    </row>
    <row r="23" spans="3:4" x14ac:dyDescent="0.35">
      <c r="C23" s="4"/>
    </row>
    <row r="24" spans="3:4" x14ac:dyDescent="0.35">
      <c r="C24" s="4"/>
    </row>
    <row r="25" spans="3:4" x14ac:dyDescent="0.35">
      <c r="C25" s="4"/>
    </row>
    <row r="27" spans="3:4" x14ac:dyDescent="0.35">
      <c r="C27" s="4"/>
    </row>
    <row r="28" spans="3:4" x14ac:dyDescent="0.35">
      <c r="C28" s="4"/>
    </row>
    <row r="29" spans="3:4" x14ac:dyDescent="0.35">
      <c r="C29" s="4"/>
    </row>
    <row r="30" spans="3:4" x14ac:dyDescent="0.35">
      <c r="C30" s="4"/>
    </row>
    <row r="31" spans="3:4" x14ac:dyDescent="0.35">
      <c r="C31" s="4"/>
    </row>
    <row r="32" spans="3:4" x14ac:dyDescent="0.35">
      <c r="C32" s="4"/>
    </row>
    <row r="33" spans="3:3" x14ac:dyDescent="0.35">
      <c r="C33" s="4"/>
    </row>
    <row r="35" spans="3:3" x14ac:dyDescent="0.35">
      <c r="C35"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Works_EN</vt:lpstr>
      <vt:lpstr>Programmes</vt:lpstr>
      <vt:lpstr>Works_GR</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Elpida Giannakou</dc:creator>
  <cp:lastModifiedBy>Elpida Giannakou</cp:lastModifiedBy>
  <dcterms:created xsi:type="dcterms:W3CDTF">2026-03-09T20:41:47Z</dcterms:created>
  <dcterms:modified xsi:type="dcterms:W3CDTF">2026-03-10T20:33:15Z</dcterms:modified>
</cp:coreProperties>
</file>